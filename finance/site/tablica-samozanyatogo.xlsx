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Старт" sheetId="1" state="visible" r:id="rId1"/>
    <sheet name="Доходы" sheetId="2" state="visible" r:id="rId2"/>
    <sheet name="Итог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 &quot;₽&quot;"/>
    <numFmt numFmtId="165" formatCode="yyyy-mm-dd"/>
    <numFmt numFmtId="166" formatCode="DD.MM.YYYY"/>
    <numFmt numFmtId="167" formatCode="#,##0.00 &quot;₽&quot;"/>
    <numFmt numFmtId="168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2A37"/>
      <sz val="16"/>
    </font>
    <font>
      <name val="Arial"/>
      <color rgb="006B7785"/>
      <sz val="10"/>
    </font>
    <font>
      <name val="Arial"/>
      <b val="1"/>
      <color rgb="001F2A37"/>
      <sz val="12"/>
    </font>
    <font>
      <name val="Arial"/>
      <color rgb="001F2A37"/>
      <sz val="11"/>
    </font>
    <font>
      <name val="Arial"/>
      <b val="1"/>
      <color rgb="001F2A37"/>
      <sz val="11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2F7D5B"/>
      </patternFill>
    </fill>
    <fill>
      <patternFill patternType="solid">
        <fgColor rgb="00EAF4EE"/>
      </patternFill>
    </fill>
  </fills>
  <borders count="6">
    <border>
      <left/>
      <right/>
      <top/>
      <bottom/>
      <diagonal/>
    </border>
    <border>
      <left style="thin">
        <color rgb="00D5DCE3"/>
      </left>
      <right style="thin">
        <color rgb="00D5DCE3"/>
      </right>
      <top style="thin">
        <color rgb="00D5DCE3"/>
      </top>
      <bottom style="thin">
        <color rgb="00D5DCE3"/>
      </bottom>
    </border>
    <border>
      <left/>
      <right/>
      <top style="thin">
        <color rgb="00D5DCE3"/>
      </top>
      <bottom/>
      <diagonal/>
    </border>
    <border>
      <left/>
      <right style="thin">
        <color rgb="00D5DCE3"/>
      </right>
      <top style="thin">
        <color rgb="00D5DCE3"/>
      </top>
      <bottom/>
      <diagonal/>
    </border>
    <border>
      <left/>
      <right/>
      <top style="thin">
        <color rgb="00D5DCE3"/>
      </top>
      <bottom style="thin">
        <color rgb="00D5DCE3"/>
      </bottom>
      <diagonal/>
    </border>
    <border>
      <left/>
      <right style="thin">
        <color rgb="00D5DCE3"/>
      </right>
      <top style="thin">
        <color rgb="00D5DCE3"/>
      </top>
      <bottom style="thin">
        <color rgb="00D5DCE3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164" fontId="5" fillId="2" borderId="1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166" fontId="4" fillId="2" borderId="1" pivotButton="0" quotePrefix="0" xfId="0"/>
    <xf numFmtId="0" fontId="4" fillId="2" borderId="1" pivotButton="0" quotePrefix="0" xfId="0"/>
    <xf numFmtId="164" fontId="4" fillId="2" borderId="1" pivotButton="0" quotePrefix="0" xfId="0"/>
    <xf numFmtId="9" fontId="4" fillId="0" borderId="1" pivotButton="0" quotePrefix="0" xfId="0"/>
    <xf numFmtId="167" fontId="4" fillId="0" borderId="1" pivotButton="0" quotePrefix="0" xfId="0"/>
    <xf numFmtId="0" fontId="4" fillId="0" borderId="1" pivotButton="0" quotePrefix="0" xfId="0"/>
    <xf numFmtId="164" fontId="3" fillId="4" borderId="1" pivotButton="0" quotePrefix="0" xfId="0"/>
    <xf numFmtId="167" fontId="3" fillId="4" borderId="1" pivotButton="0" quotePrefix="0" xfId="0"/>
    <xf numFmtId="168" fontId="3" fillId="4" borderId="1" pivotButton="0" quotePrefix="0" xfId="0"/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3" borderId="1" pivotButton="0" quotePrefix="0" xfId="0"/>
    <xf numFmtId="164" fontId="4" fillId="0" borderId="1" pivotButton="0" quotePrefix="0" xfId="0"/>
    <xf numFmtId="166" fontId="4" fillId="0" borderId="1" pivotButton="0" quotePrefix="0" xfId="0"/>
    <xf numFmtId="16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BE3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48" customWidth="1" min="3" max="3"/>
  </cols>
  <sheetData>
    <row r="1">
      <c r="A1" s="1" t="inlineStr">
        <is>
          <t>Таблица доходов самозанятого</t>
        </is>
      </c>
    </row>
    <row r="2">
      <c r="A2" s="2" t="inlineStr">
        <is>
          <t>Считает налог, остаток налогового бонуса и сколько осталось до лимита 2,4 млн ₽ в год.</t>
        </is>
      </c>
    </row>
    <row r="4">
      <c r="A4" s="3" t="inlineStr">
        <is>
          <t>Настройки</t>
        </is>
      </c>
    </row>
    <row r="5">
      <c r="A5" s="4" t="inlineStr">
        <is>
          <t>Год, за который смотреть итоги</t>
        </is>
      </c>
      <c r="B5" s="5" t="n">
        <v>2026</v>
      </c>
      <c r="C5" s="2" t="inlineStr">
        <is>
          <t>Поменяйте в январе</t>
        </is>
      </c>
    </row>
    <row r="6">
      <c r="A6" s="4" t="inlineStr">
        <is>
          <t>Остаток налогового бонуса, ₽</t>
        </is>
      </c>
      <c r="B6" s="6" t="n">
        <v>10000</v>
      </c>
      <c r="C6" s="2" t="inlineStr">
        <is>
          <t>Посмотрите в «Мой налог». Бонус 10 000 ₽ даётся один раз</t>
        </is>
      </c>
    </row>
    <row r="7">
      <c r="A7" s="4" t="inlineStr">
        <is>
          <t>Лимит дохода за год, ₽</t>
        </is>
      </c>
      <c r="B7" s="6" t="n">
        <v>2400000</v>
      </c>
      <c r="C7" s="2" t="inlineStr">
        <is>
          <t>Лимит по закону 422-ФЗ</t>
        </is>
      </c>
    </row>
    <row r="9">
      <c r="A9" s="3" t="inlineStr">
        <is>
          <t>Как пользоваться</t>
        </is>
      </c>
    </row>
    <row r="10">
      <c r="A10" s="4" t="inlineStr">
        <is>
          <t>1. Каждую оплату записывайте на лист «Доходы»: дату, клиента, кто платит, сумму и выбит ли чек.</t>
        </is>
      </c>
    </row>
    <row r="11">
      <c r="A11" s="4" t="inlineStr">
        <is>
          <t>2. Жёлтые ячейки заполняете вы, остальное таблица считает сама.</t>
        </is>
      </c>
    </row>
    <row r="12">
      <c r="A12" s="4" t="inlineStr">
        <is>
          <t>3. На листе «Итоги» — налог по месяцам, срок оплаты, невыбитые чеки и остаток до лимита.</t>
        </is>
      </c>
    </row>
    <row r="13">
      <c r="A13" s="4" t="inlineStr">
        <is>
          <t>4. Три строки с пометкой «Пример» удалите, когда начнёте вести свои доходы.</t>
        </is>
      </c>
    </row>
    <row r="15">
      <c r="A15" s="3" t="inlineStr">
        <is>
          <t>Главные правила</t>
        </is>
      </c>
    </row>
    <row r="16" ht="30" customHeight="1">
      <c r="A16" s="7" t="inlineStr">
        <is>
          <t>Ставка</t>
        </is>
      </c>
      <c r="B16" s="8" t="inlineStr">
        <is>
          <t>4% — если платит физлицо, 6% — если платит ИП или компания</t>
        </is>
      </c>
    </row>
    <row r="17" ht="30" customHeight="1">
      <c r="A17" s="7" t="inlineStr">
        <is>
          <t>Налоговый бонус</t>
        </is>
      </c>
      <c r="B17" s="8" t="inlineStr">
        <is>
          <t>10 000 ₽ один раз. Пока он не закончился, ставка 3% и 4%</t>
        </is>
      </c>
    </row>
    <row r="18" ht="30" customHeight="1">
      <c r="A18" s="7" t="inlineStr">
        <is>
          <t>Чек</t>
        </is>
      </c>
      <c r="B18" s="8" t="inlineStr">
        <is>
          <t>Наличные — сразу. Безналичные — не позже 9-го числа следующего месяца</t>
        </is>
      </c>
    </row>
    <row r="19" ht="30" customHeight="1">
      <c r="A19" s="7" t="inlineStr">
        <is>
          <t>Квитанция</t>
        </is>
      </c>
      <c r="B19" s="8" t="inlineStr">
        <is>
          <t>Приходит в «Мой налог» до 12-го числа следующего месяца</t>
        </is>
      </c>
    </row>
    <row r="20" ht="30" customHeight="1">
      <c r="A20" s="7" t="inlineStr">
        <is>
          <t>Оплата налога</t>
        </is>
      </c>
      <c r="B20" s="8" t="inlineStr">
        <is>
          <t>До 28-го числа следующего месяца. Меньше 100 ₽ переносится на следующий месяц</t>
        </is>
      </c>
    </row>
    <row r="21" ht="30" customHeight="1">
      <c r="A21" s="7" t="inlineStr">
        <is>
          <t>Лимит</t>
        </is>
      </c>
      <c r="B21" s="8" t="inlineStr">
        <is>
          <t>2,4 млн ₽ дохода за календарный год. Если превысить — право на НПД теряется</t>
        </is>
      </c>
    </row>
    <row r="22" ht="30" customHeight="1">
      <c r="A22" s="7" t="inlineStr">
        <is>
          <t>Нельзя</t>
        </is>
      </c>
      <c r="B22" s="8" t="inlineStr">
        <is>
          <t>Нанимать работников по трудовому договору, перепродавать товары, работать на текущего или бывшего (до 2 лет) работодателя</t>
        </is>
      </c>
    </row>
    <row r="24" ht="44" customHeight="1">
      <c r="A24" s="9" t="inlineStr">
        <is>
          <t>Правила — на октябрь 2026, источник: npd.nalog.ru. Таблица носит справочный характер и не является налоговой консультацией: точная сумма налога — в приложении «Мой налог».</t>
        </is>
      </c>
    </row>
  </sheetData>
  <mergeCells count="12">
    <mergeCell ref="A10:C10"/>
    <mergeCell ref="B21:C21"/>
    <mergeCell ref="B16:C16"/>
    <mergeCell ref="A13:C13"/>
    <mergeCell ref="A11:C11"/>
    <mergeCell ref="B19:C19"/>
    <mergeCell ref="B20:C20"/>
    <mergeCell ref="B22:C22"/>
    <mergeCell ref="B17:C17"/>
    <mergeCell ref="A12:C12"/>
    <mergeCell ref="A24:C24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0" customWidth="1" min="3" max="3"/>
    <col width="14" customWidth="1" min="4" max="4"/>
    <col width="12" customWidth="1" min="5" max="5"/>
    <col width="9" customWidth="1" min="6" max="6"/>
    <col width="14" customWidth="1" min="7" max="7"/>
    <col width="13" customWidth="1" min="8" max="8"/>
    <col width="7" customWidth="1" min="9" max="9"/>
    <col width="7" customWidth="1" min="10" max="10"/>
  </cols>
  <sheetData>
    <row r="1">
      <c r="A1" s="10" t="inlineStr">
        <is>
          <t>Дата</t>
        </is>
      </c>
      <c r="B1" s="10" t="inlineStr">
        <is>
          <t>Клиент</t>
        </is>
      </c>
      <c r="C1" s="10" t="inlineStr">
        <is>
          <t>Кто платит</t>
        </is>
      </c>
      <c r="D1" s="10" t="inlineStr">
        <is>
          <t>Сумма</t>
        </is>
      </c>
      <c r="E1" s="10" t="inlineStr">
        <is>
          <t>Чек выбит</t>
        </is>
      </c>
      <c r="F1" s="10" t="inlineStr">
        <is>
          <t>Ставка</t>
        </is>
      </c>
      <c r="G1" s="10" t="inlineStr">
        <is>
          <t>Бонус списан</t>
        </is>
      </c>
      <c r="H1" s="10" t="inlineStr">
        <is>
          <t>Налог</t>
        </is>
      </c>
      <c r="I1" s="10" t="inlineStr">
        <is>
          <t>Год</t>
        </is>
      </c>
      <c r="J1" s="10" t="inlineStr">
        <is>
          <t>Месяц</t>
        </is>
      </c>
    </row>
    <row r="2">
      <c r="A2" s="11" t="n">
        <v>46297</v>
      </c>
      <c r="B2" s="12" t="inlineStr">
        <is>
          <t>Пример: заказ на сайте</t>
        </is>
      </c>
      <c r="C2" s="12" t="inlineStr">
        <is>
          <t>Физлицо</t>
        </is>
      </c>
      <c r="D2" s="13" t="n">
        <v>1199</v>
      </c>
      <c r="E2" s="12" t="inlineStr">
        <is>
          <t>Да</t>
        </is>
      </c>
      <c r="F2" s="14">
        <f>IF(D2="","",IF(C2="Физлицо",0.04,0.06))</f>
        <v/>
      </c>
      <c r="G2" s="15">
        <f>IF(D2="","",MIN(MAX(Старт!$B$6-SUM(G$1:G1),0),D2*IF(C2="Физлицо",0.01,0.02)))</f>
        <v/>
      </c>
      <c r="H2" s="15">
        <f>IF(D2="","",D2*F2-G2)</f>
        <v/>
      </c>
      <c r="I2" s="16">
        <f>IF(A2="","",YEAR(A2))</f>
        <v/>
      </c>
      <c r="J2" s="16">
        <f>IF(A2="","",MONTH(A2))</f>
        <v/>
      </c>
    </row>
    <row r="3">
      <c r="A3" s="11" t="n">
        <v>46300</v>
      </c>
      <c r="B3" s="12" t="inlineStr">
        <is>
          <t>Пример: ООО «Ромашка»</t>
        </is>
      </c>
      <c r="C3" s="12" t="inlineStr">
        <is>
          <t>ИП или компания</t>
        </is>
      </c>
      <c r="D3" s="13" t="n">
        <v>15000</v>
      </c>
      <c r="E3" s="12" t="inlineStr">
        <is>
          <t>Да</t>
        </is>
      </c>
      <c r="F3" s="14">
        <f>IF(D3="","",IF(C3="Физлицо",0.04,0.06))</f>
        <v/>
      </c>
      <c r="G3" s="15">
        <f>IF(D3="","",MIN(MAX(Старт!$B$6-SUM(G$1:G2),0),D3*IF(C3="Физлицо",0.01,0.02)))</f>
        <v/>
      </c>
      <c r="H3" s="15">
        <f>IF(D3="","",D3*F3-G3)</f>
        <v/>
      </c>
      <c r="I3" s="16">
        <f>IF(A3="","",YEAR(A3))</f>
        <v/>
      </c>
      <c r="J3" s="16">
        <f>IF(A3="","",MONTH(A3))</f>
        <v/>
      </c>
    </row>
    <row r="4">
      <c r="A4" s="11" t="n">
        <v>46306</v>
      </c>
      <c r="B4" s="12" t="inlineStr">
        <is>
          <t>Пример: перевод на карту</t>
        </is>
      </c>
      <c r="C4" s="12" t="inlineStr">
        <is>
          <t>Физлицо</t>
        </is>
      </c>
      <c r="D4" s="13" t="n">
        <v>2500</v>
      </c>
      <c r="E4" s="12" t="inlineStr">
        <is>
          <t>Нет</t>
        </is>
      </c>
      <c r="F4" s="14">
        <f>IF(D4="","",IF(C4="Физлицо",0.04,0.06))</f>
        <v/>
      </c>
      <c r="G4" s="15">
        <f>IF(D4="","",MIN(MAX(Старт!$B$6-SUM(G$1:G3),0),D4*IF(C4="Физлицо",0.01,0.02)))</f>
        <v/>
      </c>
      <c r="H4" s="15">
        <f>IF(D4="","",D4*F4-G4)</f>
        <v/>
      </c>
      <c r="I4" s="16">
        <f>IF(A4="","",YEAR(A4))</f>
        <v/>
      </c>
      <c r="J4" s="16">
        <f>IF(A4="","",MONTH(A4))</f>
        <v/>
      </c>
    </row>
    <row r="5">
      <c r="A5" s="11" t="n"/>
      <c r="B5" s="12" t="n"/>
      <c r="C5" s="12" t="n"/>
      <c r="D5" s="13" t="n"/>
      <c r="E5" s="12" t="n"/>
      <c r="F5" s="14">
        <f>IF(D5="","",IF(C5="Физлицо",0.04,0.06))</f>
        <v/>
      </c>
      <c r="G5" s="15">
        <f>IF(D5="","",MIN(MAX(Старт!$B$6-SUM(G$1:G4),0),D5*IF(C5="Физлицо",0.01,0.02)))</f>
        <v/>
      </c>
      <c r="H5" s="15">
        <f>IF(D5="","",D5*F5-G5)</f>
        <v/>
      </c>
      <c r="I5" s="16">
        <f>IF(A5="","",YEAR(A5))</f>
        <v/>
      </c>
      <c r="J5" s="16">
        <f>IF(A5="","",MONTH(A5))</f>
        <v/>
      </c>
    </row>
    <row r="6">
      <c r="A6" s="11" t="n"/>
      <c r="B6" s="12" t="n"/>
      <c r="C6" s="12" t="n"/>
      <c r="D6" s="13" t="n"/>
      <c r="E6" s="12" t="n"/>
      <c r="F6" s="14">
        <f>IF(D6="","",IF(C6="Физлицо",0.04,0.06))</f>
        <v/>
      </c>
      <c r="G6" s="15">
        <f>IF(D6="","",MIN(MAX(Старт!$B$6-SUM(G$1:G5),0),D6*IF(C6="Физлицо",0.01,0.02)))</f>
        <v/>
      </c>
      <c r="H6" s="15">
        <f>IF(D6="","",D6*F6-G6)</f>
        <v/>
      </c>
      <c r="I6" s="16">
        <f>IF(A6="","",YEAR(A6))</f>
        <v/>
      </c>
      <c r="J6" s="16">
        <f>IF(A6="","",MONTH(A6))</f>
        <v/>
      </c>
    </row>
    <row r="7">
      <c r="A7" s="11" t="n"/>
      <c r="B7" s="12" t="n"/>
      <c r="C7" s="12" t="n"/>
      <c r="D7" s="13" t="n"/>
      <c r="E7" s="12" t="n"/>
      <c r="F7" s="14">
        <f>IF(D7="","",IF(C7="Физлицо",0.04,0.06))</f>
        <v/>
      </c>
      <c r="G7" s="15">
        <f>IF(D7="","",MIN(MAX(Старт!$B$6-SUM(G$1:G6),0),D7*IF(C7="Физлицо",0.01,0.02)))</f>
        <v/>
      </c>
      <c r="H7" s="15">
        <f>IF(D7="","",D7*F7-G7)</f>
        <v/>
      </c>
      <c r="I7" s="16">
        <f>IF(A7="","",YEAR(A7))</f>
        <v/>
      </c>
      <c r="J7" s="16">
        <f>IF(A7="","",MONTH(A7))</f>
        <v/>
      </c>
    </row>
    <row r="8">
      <c r="A8" s="11" t="n"/>
      <c r="B8" s="12" t="n"/>
      <c r="C8" s="12" t="n"/>
      <c r="D8" s="13" t="n"/>
      <c r="E8" s="12" t="n"/>
      <c r="F8" s="14">
        <f>IF(D8="","",IF(C8="Физлицо",0.04,0.06))</f>
        <v/>
      </c>
      <c r="G8" s="15">
        <f>IF(D8="","",MIN(MAX(Старт!$B$6-SUM(G$1:G7),0),D8*IF(C8="Физлицо",0.01,0.02)))</f>
        <v/>
      </c>
      <c r="H8" s="15">
        <f>IF(D8="","",D8*F8-G8)</f>
        <v/>
      </c>
      <c r="I8" s="16">
        <f>IF(A8="","",YEAR(A8))</f>
        <v/>
      </c>
      <c r="J8" s="16">
        <f>IF(A8="","",MONTH(A8))</f>
        <v/>
      </c>
    </row>
    <row r="9">
      <c r="A9" s="11" t="n"/>
      <c r="B9" s="12" t="n"/>
      <c r="C9" s="12" t="n"/>
      <c r="D9" s="13" t="n"/>
      <c r="E9" s="12" t="n"/>
      <c r="F9" s="14">
        <f>IF(D9="","",IF(C9="Физлицо",0.04,0.06))</f>
        <v/>
      </c>
      <c r="G9" s="15">
        <f>IF(D9="","",MIN(MAX(Старт!$B$6-SUM(G$1:G8),0),D9*IF(C9="Физлицо",0.01,0.02)))</f>
        <v/>
      </c>
      <c r="H9" s="15">
        <f>IF(D9="","",D9*F9-G9)</f>
        <v/>
      </c>
      <c r="I9" s="16">
        <f>IF(A9="","",YEAR(A9))</f>
        <v/>
      </c>
      <c r="J9" s="16">
        <f>IF(A9="","",MONTH(A9))</f>
        <v/>
      </c>
    </row>
    <row r="10">
      <c r="A10" s="11" t="n"/>
      <c r="B10" s="12" t="n"/>
      <c r="C10" s="12" t="n"/>
      <c r="D10" s="13" t="n"/>
      <c r="E10" s="12" t="n"/>
      <c r="F10" s="14">
        <f>IF(D10="","",IF(C10="Физлицо",0.04,0.06))</f>
        <v/>
      </c>
      <c r="G10" s="15">
        <f>IF(D10="","",MIN(MAX(Старт!$B$6-SUM(G$1:G9),0),D10*IF(C10="Физлицо",0.01,0.02)))</f>
        <v/>
      </c>
      <c r="H10" s="15">
        <f>IF(D10="","",D10*F10-G10)</f>
        <v/>
      </c>
      <c r="I10" s="16">
        <f>IF(A10="","",YEAR(A10))</f>
        <v/>
      </c>
      <c r="J10" s="16">
        <f>IF(A10="","",MONTH(A10))</f>
        <v/>
      </c>
    </row>
    <row r="11">
      <c r="A11" s="11" t="n"/>
      <c r="B11" s="12" t="n"/>
      <c r="C11" s="12" t="n"/>
      <c r="D11" s="13" t="n"/>
      <c r="E11" s="12" t="n"/>
      <c r="F11" s="14">
        <f>IF(D11="","",IF(C11="Физлицо",0.04,0.06))</f>
        <v/>
      </c>
      <c r="G11" s="15">
        <f>IF(D11="","",MIN(MAX(Старт!$B$6-SUM(G$1:G10),0),D11*IF(C11="Физлицо",0.01,0.02)))</f>
        <v/>
      </c>
      <c r="H11" s="15">
        <f>IF(D11="","",D11*F11-G11)</f>
        <v/>
      </c>
      <c r="I11" s="16">
        <f>IF(A11="","",YEAR(A11))</f>
        <v/>
      </c>
      <c r="J11" s="16">
        <f>IF(A11="","",MONTH(A11))</f>
        <v/>
      </c>
    </row>
    <row r="12">
      <c r="A12" s="11" t="n"/>
      <c r="B12" s="12" t="n"/>
      <c r="C12" s="12" t="n"/>
      <c r="D12" s="13" t="n"/>
      <c r="E12" s="12" t="n"/>
      <c r="F12" s="14">
        <f>IF(D12="","",IF(C12="Физлицо",0.04,0.06))</f>
        <v/>
      </c>
      <c r="G12" s="15">
        <f>IF(D12="","",MIN(MAX(Старт!$B$6-SUM(G$1:G11),0),D12*IF(C12="Физлицо",0.01,0.02)))</f>
        <v/>
      </c>
      <c r="H12" s="15">
        <f>IF(D12="","",D12*F12-G12)</f>
        <v/>
      </c>
      <c r="I12" s="16">
        <f>IF(A12="","",YEAR(A12))</f>
        <v/>
      </c>
      <c r="J12" s="16">
        <f>IF(A12="","",MONTH(A12))</f>
        <v/>
      </c>
    </row>
    <row r="13">
      <c r="A13" s="11" t="n"/>
      <c r="B13" s="12" t="n"/>
      <c r="C13" s="12" t="n"/>
      <c r="D13" s="13" t="n"/>
      <c r="E13" s="12" t="n"/>
      <c r="F13" s="14">
        <f>IF(D13="","",IF(C13="Физлицо",0.04,0.06))</f>
        <v/>
      </c>
      <c r="G13" s="15">
        <f>IF(D13="","",MIN(MAX(Старт!$B$6-SUM(G$1:G12),0),D13*IF(C13="Физлицо",0.01,0.02)))</f>
        <v/>
      </c>
      <c r="H13" s="15">
        <f>IF(D13="","",D13*F13-G13)</f>
        <v/>
      </c>
      <c r="I13" s="16">
        <f>IF(A13="","",YEAR(A13))</f>
        <v/>
      </c>
      <c r="J13" s="16">
        <f>IF(A13="","",MONTH(A13))</f>
        <v/>
      </c>
    </row>
    <row r="14">
      <c r="A14" s="11" t="n"/>
      <c r="B14" s="12" t="n"/>
      <c r="C14" s="12" t="n"/>
      <c r="D14" s="13" t="n"/>
      <c r="E14" s="12" t="n"/>
      <c r="F14" s="14">
        <f>IF(D14="","",IF(C14="Физлицо",0.04,0.06))</f>
        <v/>
      </c>
      <c r="G14" s="15">
        <f>IF(D14="","",MIN(MAX(Старт!$B$6-SUM(G$1:G13),0),D14*IF(C14="Физлицо",0.01,0.02)))</f>
        <v/>
      </c>
      <c r="H14" s="15">
        <f>IF(D14="","",D14*F14-G14)</f>
        <v/>
      </c>
      <c r="I14" s="16">
        <f>IF(A14="","",YEAR(A14))</f>
        <v/>
      </c>
      <c r="J14" s="16">
        <f>IF(A14="","",MONTH(A14))</f>
        <v/>
      </c>
    </row>
    <row r="15">
      <c r="A15" s="11" t="n"/>
      <c r="B15" s="12" t="n"/>
      <c r="C15" s="12" t="n"/>
      <c r="D15" s="13" t="n"/>
      <c r="E15" s="12" t="n"/>
      <c r="F15" s="14">
        <f>IF(D15="","",IF(C15="Физлицо",0.04,0.06))</f>
        <v/>
      </c>
      <c r="G15" s="15">
        <f>IF(D15="","",MIN(MAX(Старт!$B$6-SUM(G$1:G14),0),D15*IF(C15="Физлицо",0.01,0.02)))</f>
        <v/>
      </c>
      <c r="H15" s="15">
        <f>IF(D15="","",D15*F15-G15)</f>
        <v/>
      </c>
      <c r="I15" s="16">
        <f>IF(A15="","",YEAR(A15))</f>
        <v/>
      </c>
      <c r="J15" s="16">
        <f>IF(A15="","",MONTH(A15))</f>
        <v/>
      </c>
    </row>
    <row r="16">
      <c r="A16" s="11" t="n"/>
      <c r="B16" s="12" t="n"/>
      <c r="C16" s="12" t="n"/>
      <c r="D16" s="13" t="n"/>
      <c r="E16" s="12" t="n"/>
      <c r="F16" s="14">
        <f>IF(D16="","",IF(C16="Физлицо",0.04,0.06))</f>
        <v/>
      </c>
      <c r="G16" s="15">
        <f>IF(D16="","",MIN(MAX(Старт!$B$6-SUM(G$1:G15),0),D16*IF(C16="Физлицо",0.01,0.02)))</f>
        <v/>
      </c>
      <c r="H16" s="15">
        <f>IF(D16="","",D16*F16-G16)</f>
        <v/>
      </c>
      <c r="I16" s="16">
        <f>IF(A16="","",YEAR(A16))</f>
        <v/>
      </c>
      <c r="J16" s="16">
        <f>IF(A16="","",MONTH(A16))</f>
        <v/>
      </c>
    </row>
    <row r="17">
      <c r="A17" s="11" t="n"/>
      <c r="B17" s="12" t="n"/>
      <c r="C17" s="12" t="n"/>
      <c r="D17" s="13" t="n"/>
      <c r="E17" s="12" t="n"/>
      <c r="F17" s="14">
        <f>IF(D17="","",IF(C17="Физлицо",0.04,0.06))</f>
        <v/>
      </c>
      <c r="G17" s="15">
        <f>IF(D17="","",MIN(MAX(Старт!$B$6-SUM(G$1:G16),0),D17*IF(C17="Физлицо",0.01,0.02)))</f>
        <v/>
      </c>
      <c r="H17" s="15">
        <f>IF(D17="","",D17*F17-G17)</f>
        <v/>
      </c>
      <c r="I17" s="16">
        <f>IF(A17="","",YEAR(A17))</f>
        <v/>
      </c>
      <c r="J17" s="16">
        <f>IF(A17="","",MONTH(A17))</f>
        <v/>
      </c>
    </row>
    <row r="18">
      <c r="A18" s="11" t="n"/>
      <c r="B18" s="12" t="n"/>
      <c r="C18" s="12" t="n"/>
      <c r="D18" s="13" t="n"/>
      <c r="E18" s="12" t="n"/>
      <c r="F18" s="14">
        <f>IF(D18="","",IF(C18="Физлицо",0.04,0.06))</f>
        <v/>
      </c>
      <c r="G18" s="15">
        <f>IF(D18="","",MIN(MAX(Старт!$B$6-SUM(G$1:G17),0),D18*IF(C18="Физлицо",0.01,0.02)))</f>
        <v/>
      </c>
      <c r="H18" s="15">
        <f>IF(D18="","",D18*F18-G18)</f>
        <v/>
      </c>
      <c r="I18" s="16">
        <f>IF(A18="","",YEAR(A18))</f>
        <v/>
      </c>
      <c r="J18" s="16">
        <f>IF(A18="","",MONTH(A18))</f>
        <v/>
      </c>
    </row>
    <row r="19">
      <c r="A19" s="11" t="n"/>
      <c r="B19" s="12" t="n"/>
      <c r="C19" s="12" t="n"/>
      <c r="D19" s="13" t="n"/>
      <c r="E19" s="12" t="n"/>
      <c r="F19" s="14">
        <f>IF(D19="","",IF(C19="Физлицо",0.04,0.06))</f>
        <v/>
      </c>
      <c r="G19" s="15">
        <f>IF(D19="","",MIN(MAX(Старт!$B$6-SUM(G$1:G18),0),D19*IF(C19="Физлицо",0.01,0.02)))</f>
        <v/>
      </c>
      <c r="H19" s="15">
        <f>IF(D19="","",D19*F19-G19)</f>
        <v/>
      </c>
      <c r="I19" s="16">
        <f>IF(A19="","",YEAR(A19))</f>
        <v/>
      </c>
      <c r="J19" s="16">
        <f>IF(A19="","",MONTH(A19))</f>
        <v/>
      </c>
    </row>
    <row r="20">
      <c r="A20" s="11" t="n"/>
      <c r="B20" s="12" t="n"/>
      <c r="C20" s="12" t="n"/>
      <c r="D20" s="13" t="n"/>
      <c r="E20" s="12" t="n"/>
      <c r="F20" s="14">
        <f>IF(D20="","",IF(C20="Физлицо",0.04,0.06))</f>
        <v/>
      </c>
      <c r="G20" s="15">
        <f>IF(D20="","",MIN(MAX(Старт!$B$6-SUM(G$1:G19),0),D20*IF(C20="Физлицо",0.01,0.02)))</f>
        <v/>
      </c>
      <c r="H20" s="15">
        <f>IF(D20="","",D20*F20-G20)</f>
        <v/>
      </c>
      <c r="I20" s="16">
        <f>IF(A20="","",YEAR(A20))</f>
        <v/>
      </c>
      <c r="J20" s="16">
        <f>IF(A20="","",MONTH(A20))</f>
        <v/>
      </c>
    </row>
    <row r="21">
      <c r="A21" s="11" t="n"/>
      <c r="B21" s="12" t="n"/>
      <c r="C21" s="12" t="n"/>
      <c r="D21" s="13" t="n"/>
      <c r="E21" s="12" t="n"/>
      <c r="F21" s="14">
        <f>IF(D21="","",IF(C21="Физлицо",0.04,0.06))</f>
        <v/>
      </c>
      <c r="G21" s="15">
        <f>IF(D21="","",MIN(MAX(Старт!$B$6-SUM(G$1:G20),0),D21*IF(C21="Физлицо",0.01,0.02)))</f>
        <v/>
      </c>
      <c r="H21" s="15">
        <f>IF(D21="","",D21*F21-G21)</f>
        <v/>
      </c>
      <c r="I21" s="16">
        <f>IF(A21="","",YEAR(A21))</f>
        <v/>
      </c>
      <c r="J21" s="16">
        <f>IF(A21="","",MONTH(A21))</f>
        <v/>
      </c>
    </row>
    <row r="22">
      <c r="A22" s="11" t="n"/>
      <c r="B22" s="12" t="n"/>
      <c r="C22" s="12" t="n"/>
      <c r="D22" s="13" t="n"/>
      <c r="E22" s="12" t="n"/>
      <c r="F22" s="14">
        <f>IF(D22="","",IF(C22="Физлицо",0.04,0.06))</f>
        <v/>
      </c>
      <c r="G22" s="15">
        <f>IF(D22="","",MIN(MAX(Старт!$B$6-SUM(G$1:G21),0),D22*IF(C22="Физлицо",0.01,0.02)))</f>
        <v/>
      </c>
      <c r="H22" s="15">
        <f>IF(D22="","",D22*F22-G22)</f>
        <v/>
      </c>
      <c r="I22" s="16">
        <f>IF(A22="","",YEAR(A22))</f>
        <v/>
      </c>
      <c r="J22" s="16">
        <f>IF(A22="","",MONTH(A22))</f>
        <v/>
      </c>
    </row>
    <row r="23">
      <c r="A23" s="11" t="n"/>
      <c r="B23" s="12" t="n"/>
      <c r="C23" s="12" t="n"/>
      <c r="D23" s="13" t="n"/>
      <c r="E23" s="12" t="n"/>
      <c r="F23" s="14">
        <f>IF(D23="","",IF(C23="Физлицо",0.04,0.06))</f>
        <v/>
      </c>
      <c r="G23" s="15">
        <f>IF(D23="","",MIN(MAX(Старт!$B$6-SUM(G$1:G22),0),D23*IF(C23="Физлицо",0.01,0.02)))</f>
        <v/>
      </c>
      <c r="H23" s="15">
        <f>IF(D23="","",D23*F23-G23)</f>
        <v/>
      </c>
      <c r="I23" s="16">
        <f>IF(A23="","",YEAR(A23))</f>
        <v/>
      </c>
      <c r="J23" s="16">
        <f>IF(A23="","",MONTH(A23))</f>
        <v/>
      </c>
    </row>
    <row r="24">
      <c r="A24" s="11" t="n"/>
      <c r="B24" s="12" t="n"/>
      <c r="C24" s="12" t="n"/>
      <c r="D24" s="13" t="n"/>
      <c r="E24" s="12" t="n"/>
      <c r="F24" s="14">
        <f>IF(D24="","",IF(C24="Физлицо",0.04,0.06))</f>
        <v/>
      </c>
      <c r="G24" s="15">
        <f>IF(D24="","",MIN(MAX(Старт!$B$6-SUM(G$1:G23),0),D24*IF(C24="Физлицо",0.01,0.02)))</f>
        <v/>
      </c>
      <c r="H24" s="15">
        <f>IF(D24="","",D24*F24-G24)</f>
        <v/>
      </c>
      <c r="I24" s="16">
        <f>IF(A24="","",YEAR(A24))</f>
        <v/>
      </c>
      <c r="J24" s="16">
        <f>IF(A24="","",MONTH(A24))</f>
        <v/>
      </c>
    </row>
    <row r="25">
      <c r="A25" s="11" t="n"/>
      <c r="B25" s="12" t="n"/>
      <c r="C25" s="12" t="n"/>
      <c r="D25" s="13" t="n"/>
      <c r="E25" s="12" t="n"/>
      <c r="F25" s="14">
        <f>IF(D25="","",IF(C25="Физлицо",0.04,0.06))</f>
        <v/>
      </c>
      <c r="G25" s="15">
        <f>IF(D25="","",MIN(MAX(Старт!$B$6-SUM(G$1:G24),0),D25*IF(C25="Физлицо",0.01,0.02)))</f>
        <v/>
      </c>
      <c r="H25" s="15">
        <f>IF(D25="","",D25*F25-G25)</f>
        <v/>
      </c>
      <c r="I25" s="16">
        <f>IF(A25="","",YEAR(A25))</f>
        <v/>
      </c>
      <c r="J25" s="16">
        <f>IF(A25="","",MONTH(A25))</f>
        <v/>
      </c>
    </row>
    <row r="26">
      <c r="A26" s="11" t="n"/>
      <c r="B26" s="12" t="n"/>
      <c r="C26" s="12" t="n"/>
      <c r="D26" s="13" t="n"/>
      <c r="E26" s="12" t="n"/>
      <c r="F26" s="14">
        <f>IF(D26="","",IF(C26="Физлицо",0.04,0.06))</f>
        <v/>
      </c>
      <c r="G26" s="15">
        <f>IF(D26="","",MIN(MAX(Старт!$B$6-SUM(G$1:G25),0),D26*IF(C26="Физлицо",0.01,0.02)))</f>
        <v/>
      </c>
      <c r="H26" s="15">
        <f>IF(D26="","",D26*F26-G26)</f>
        <v/>
      </c>
      <c r="I26" s="16">
        <f>IF(A26="","",YEAR(A26))</f>
        <v/>
      </c>
      <c r="J26" s="16">
        <f>IF(A26="","",MONTH(A26))</f>
        <v/>
      </c>
    </row>
    <row r="27">
      <c r="A27" s="11" t="n"/>
      <c r="B27" s="12" t="n"/>
      <c r="C27" s="12" t="n"/>
      <c r="D27" s="13" t="n"/>
      <c r="E27" s="12" t="n"/>
      <c r="F27" s="14">
        <f>IF(D27="","",IF(C27="Физлицо",0.04,0.06))</f>
        <v/>
      </c>
      <c r="G27" s="15">
        <f>IF(D27="","",MIN(MAX(Старт!$B$6-SUM(G$1:G26),0),D27*IF(C27="Физлицо",0.01,0.02)))</f>
        <v/>
      </c>
      <c r="H27" s="15">
        <f>IF(D27="","",D27*F27-G27)</f>
        <v/>
      </c>
      <c r="I27" s="16">
        <f>IF(A27="","",YEAR(A27))</f>
        <v/>
      </c>
      <c r="J27" s="16">
        <f>IF(A27="","",MONTH(A27))</f>
        <v/>
      </c>
    </row>
    <row r="28">
      <c r="A28" s="11" t="n"/>
      <c r="B28" s="12" t="n"/>
      <c r="C28" s="12" t="n"/>
      <c r="D28" s="13" t="n"/>
      <c r="E28" s="12" t="n"/>
      <c r="F28" s="14">
        <f>IF(D28="","",IF(C28="Физлицо",0.04,0.06))</f>
        <v/>
      </c>
      <c r="G28" s="15">
        <f>IF(D28="","",MIN(MAX(Старт!$B$6-SUM(G$1:G27),0),D28*IF(C28="Физлицо",0.01,0.02)))</f>
        <v/>
      </c>
      <c r="H28" s="15">
        <f>IF(D28="","",D28*F28-G28)</f>
        <v/>
      </c>
      <c r="I28" s="16">
        <f>IF(A28="","",YEAR(A28))</f>
        <v/>
      </c>
      <c r="J28" s="16">
        <f>IF(A28="","",MONTH(A28))</f>
        <v/>
      </c>
    </row>
    <row r="29">
      <c r="A29" s="11" t="n"/>
      <c r="B29" s="12" t="n"/>
      <c r="C29" s="12" t="n"/>
      <c r="D29" s="13" t="n"/>
      <c r="E29" s="12" t="n"/>
      <c r="F29" s="14">
        <f>IF(D29="","",IF(C29="Физлицо",0.04,0.06))</f>
        <v/>
      </c>
      <c r="G29" s="15">
        <f>IF(D29="","",MIN(MAX(Старт!$B$6-SUM(G$1:G28),0),D29*IF(C29="Физлицо",0.01,0.02)))</f>
        <v/>
      </c>
      <c r="H29" s="15">
        <f>IF(D29="","",D29*F29-G29)</f>
        <v/>
      </c>
      <c r="I29" s="16">
        <f>IF(A29="","",YEAR(A29))</f>
        <v/>
      </c>
      <c r="J29" s="16">
        <f>IF(A29="","",MONTH(A29))</f>
        <v/>
      </c>
    </row>
    <row r="30">
      <c r="A30" s="11" t="n"/>
      <c r="B30" s="12" t="n"/>
      <c r="C30" s="12" t="n"/>
      <c r="D30" s="13" t="n"/>
      <c r="E30" s="12" t="n"/>
      <c r="F30" s="14">
        <f>IF(D30="","",IF(C30="Физлицо",0.04,0.06))</f>
        <v/>
      </c>
      <c r="G30" s="15">
        <f>IF(D30="","",MIN(MAX(Старт!$B$6-SUM(G$1:G29),0),D30*IF(C30="Физлицо",0.01,0.02)))</f>
        <v/>
      </c>
      <c r="H30" s="15">
        <f>IF(D30="","",D30*F30-G30)</f>
        <v/>
      </c>
      <c r="I30" s="16">
        <f>IF(A30="","",YEAR(A30))</f>
        <v/>
      </c>
      <c r="J30" s="16">
        <f>IF(A30="","",MONTH(A30))</f>
        <v/>
      </c>
    </row>
    <row r="31">
      <c r="A31" s="11" t="n"/>
      <c r="B31" s="12" t="n"/>
      <c r="C31" s="12" t="n"/>
      <c r="D31" s="13" t="n"/>
      <c r="E31" s="12" t="n"/>
      <c r="F31" s="14">
        <f>IF(D31="","",IF(C31="Физлицо",0.04,0.06))</f>
        <v/>
      </c>
      <c r="G31" s="15">
        <f>IF(D31="","",MIN(MAX(Старт!$B$6-SUM(G$1:G30),0),D31*IF(C31="Физлицо",0.01,0.02)))</f>
        <v/>
      </c>
      <c r="H31" s="15">
        <f>IF(D31="","",D31*F31-G31)</f>
        <v/>
      </c>
      <c r="I31" s="16">
        <f>IF(A31="","",YEAR(A31))</f>
        <v/>
      </c>
      <c r="J31" s="16">
        <f>IF(A31="","",MONTH(A31))</f>
        <v/>
      </c>
    </row>
    <row r="32">
      <c r="A32" s="11" t="n"/>
      <c r="B32" s="12" t="n"/>
      <c r="C32" s="12" t="n"/>
      <c r="D32" s="13" t="n"/>
      <c r="E32" s="12" t="n"/>
      <c r="F32" s="14">
        <f>IF(D32="","",IF(C32="Физлицо",0.04,0.06))</f>
        <v/>
      </c>
      <c r="G32" s="15">
        <f>IF(D32="","",MIN(MAX(Старт!$B$6-SUM(G$1:G31),0),D32*IF(C32="Физлицо",0.01,0.02)))</f>
        <v/>
      </c>
      <c r="H32" s="15">
        <f>IF(D32="","",D32*F32-G32)</f>
        <v/>
      </c>
      <c r="I32" s="16">
        <f>IF(A32="","",YEAR(A32))</f>
        <v/>
      </c>
      <c r="J32" s="16">
        <f>IF(A32="","",MONTH(A32))</f>
        <v/>
      </c>
    </row>
    <row r="33">
      <c r="A33" s="11" t="n"/>
      <c r="B33" s="12" t="n"/>
      <c r="C33" s="12" t="n"/>
      <c r="D33" s="13" t="n"/>
      <c r="E33" s="12" t="n"/>
      <c r="F33" s="14">
        <f>IF(D33="","",IF(C33="Физлицо",0.04,0.06))</f>
        <v/>
      </c>
      <c r="G33" s="15">
        <f>IF(D33="","",MIN(MAX(Старт!$B$6-SUM(G$1:G32),0),D33*IF(C33="Физлицо",0.01,0.02)))</f>
        <v/>
      </c>
      <c r="H33" s="15">
        <f>IF(D33="","",D33*F33-G33)</f>
        <v/>
      </c>
      <c r="I33" s="16">
        <f>IF(A33="","",YEAR(A33))</f>
        <v/>
      </c>
      <c r="J33" s="16">
        <f>IF(A33="","",MONTH(A33))</f>
        <v/>
      </c>
    </row>
    <row r="34">
      <c r="A34" s="11" t="n"/>
      <c r="B34" s="12" t="n"/>
      <c r="C34" s="12" t="n"/>
      <c r="D34" s="13" t="n"/>
      <c r="E34" s="12" t="n"/>
      <c r="F34" s="14">
        <f>IF(D34="","",IF(C34="Физлицо",0.04,0.06))</f>
        <v/>
      </c>
      <c r="G34" s="15">
        <f>IF(D34="","",MIN(MAX(Старт!$B$6-SUM(G$1:G33),0),D34*IF(C34="Физлицо",0.01,0.02)))</f>
        <v/>
      </c>
      <c r="H34" s="15">
        <f>IF(D34="","",D34*F34-G34)</f>
        <v/>
      </c>
      <c r="I34" s="16">
        <f>IF(A34="","",YEAR(A34))</f>
        <v/>
      </c>
      <c r="J34" s="16">
        <f>IF(A34="","",MONTH(A34))</f>
        <v/>
      </c>
    </row>
    <row r="35">
      <c r="A35" s="11" t="n"/>
      <c r="B35" s="12" t="n"/>
      <c r="C35" s="12" t="n"/>
      <c r="D35" s="13" t="n"/>
      <c r="E35" s="12" t="n"/>
      <c r="F35" s="14">
        <f>IF(D35="","",IF(C35="Физлицо",0.04,0.06))</f>
        <v/>
      </c>
      <c r="G35" s="15">
        <f>IF(D35="","",MIN(MAX(Старт!$B$6-SUM(G$1:G34),0),D35*IF(C35="Физлицо",0.01,0.02)))</f>
        <v/>
      </c>
      <c r="H35" s="15">
        <f>IF(D35="","",D35*F35-G35)</f>
        <v/>
      </c>
      <c r="I35" s="16">
        <f>IF(A35="","",YEAR(A35))</f>
        <v/>
      </c>
      <c r="J35" s="16">
        <f>IF(A35="","",MONTH(A35))</f>
        <v/>
      </c>
    </row>
    <row r="36">
      <c r="A36" s="11" t="n"/>
      <c r="B36" s="12" t="n"/>
      <c r="C36" s="12" t="n"/>
      <c r="D36" s="13" t="n"/>
      <c r="E36" s="12" t="n"/>
      <c r="F36" s="14">
        <f>IF(D36="","",IF(C36="Физлицо",0.04,0.06))</f>
        <v/>
      </c>
      <c r="G36" s="15">
        <f>IF(D36="","",MIN(MAX(Старт!$B$6-SUM(G$1:G35),0),D36*IF(C36="Физлицо",0.01,0.02)))</f>
        <v/>
      </c>
      <c r="H36" s="15">
        <f>IF(D36="","",D36*F36-G36)</f>
        <v/>
      </c>
      <c r="I36" s="16">
        <f>IF(A36="","",YEAR(A36))</f>
        <v/>
      </c>
      <c r="J36" s="16">
        <f>IF(A36="","",MONTH(A36))</f>
        <v/>
      </c>
    </row>
    <row r="37">
      <c r="A37" s="11" t="n"/>
      <c r="B37" s="12" t="n"/>
      <c r="C37" s="12" t="n"/>
      <c r="D37" s="13" t="n"/>
      <c r="E37" s="12" t="n"/>
      <c r="F37" s="14">
        <f>IF(D37="","",IF(C37="Физлицо",0.04,0.06))</f>
        <v/>
      </c>
      <c r="G37" s="15">
        <f>IF(D37="","",MIN(MAX(Старт!$B$6-SUM(G$1:G36),0),D37*IF(C37="Физлицо",0.01,0.02)))</f>
        <v/>
      </c>
      <c r="H37" s="15">
        <f>IF(D37="","",D37*F37-G37)</f>
        <v/>
      </c>
      <c r="I37" s="16">
        <f>IF(A37="","",YEAR(A37))</f>
        <v/>
      </c>
      <c r="J37" s="16">
        <f>IF(A37="","",MONTH(A37))</f>
        <v/>
      </c>
    </row>
    <row r="38">
      <c r="A38" s="11" t="n"/>
      <c r="B38" s="12" t="n"/>
      <c r="C38" s="12" t="n"/>
      <c r="D38" s="13" t="n"/>
      <c r="E38" s="12" t="n"/>
      <c r="F38" s="14">
        <f>IF(D38="","",IF(C38="Физлицо",0.04,0.06))</f>
        <v/>
      </c>
      <c r="G38" s="15">
        <f>IF(D38="","",MIN(MAX(Старт!$B$6-SUM(G$1:G37),0),D38*IF(C38="Физлицо",0.01,0.02)))</f>
        <v/>
      </c>
      <c r="H38" s="15">
        <f>IF(D38="","",D38*F38-G38)</f>
        <v/>
      </c>
      <c r="I38" s="16">
        <f>IF(A38="","",YEAR(A38))</f>
        <v/>
      </c>
      <c r="J38" s="16">
        <f>IF(A38="","",MONTH(A38))</f>
        <v/>
      </c>
    </row>
    <row r="39">
      <c r="A39" s="11" t="n"/>
      <c r="B39" s="12" t="n"/>
      <c r="C39" s="12" t="n"/>
      <c r="D39" s="13" t="n"/>
      <c r="E39" s="12" t="n"/>
      <c r="F39" s="14">
        <f>IF(D39="","",IF(C39="Физлицо",0.04,0.06))</f>
        <v/>
      </c>
      <c r="G39" s="15">
        <f>IF(D39="","",MIN(MAX(Старт!$B$6-SUM(G$1:G38),0),D39*IF(C39="Физлицо",0.01,0.02)))</f>
        <v/>
      </c>
      <c r="H39" s="15">
        <f>IF(D39="","",D39*F39-G39)</f>
        <v/>
      </c>
      <c r="I39" s="16">
        <f>IF(A39="","",YEAR(A39))</f>
        <v/>
      </c>
      <c r="J39" s="16">
        <f>IF(A39="","",MONTH(A39))</f>
        <v/>
      </c>
    </row>
    <row r="40">
      <c r="A40" s="11" t="n"/>
      <c r="B40" s="12" t="n"/>
      <c r="C40" s="12" t="n"/>
      <c r="D40" s="13" t="n"/>
      <c r="E40" s="12" t="n"/>
      <c r="F40" s="14">
        <f>IF(D40="","",IF(C40="Физлицо",0.04,0.06))</f>
        <v/>
      </c>
      <c r="G40" s="15">
        <f>IF(D40="","",MIN(MAX(Старт!$B$6-SUM(G$1:G39),0),D40*IF(C40="Физлицо",0.01,0.02)))</f>
        <v/>
      </c>
      <c r="H40" s="15">
        <f>IF(D40="","",D40*F40-G40)</f>
        <v/>
      </c>
      <c r="I40" s="16">
        <f>IF(A40="","",YEAR(A40))</f>
        <v/>
      </c>
      <c r="J40" s="16">
        <f>IF(A40="","",MONTH(A40))</f>
        <v/>
      </c>
    </row>
    <row r="41">
      <c r="A41" s="11" t="n"/>
      <c r="B41" s="12" t="n"/>
      <c r="C41" s="12" t="n"/>
      <c r="D41" s="13" t="n"/>
      <c r="E41" s="12" t="n"/>
      <c r="F41" s="14">
        <f>IF(D41="","",IF(C41="Физлицо",0.04,0.06))</f>
        <v/>
      </c>
      <c r="G41" s="15">
        <f>IF(D41="","",MIN(MAX(Старт!$B$6-SUM(G$1:G40),0),D41*IF(C41="Физлицо",0.01,0.02)))</f>
        <v/>
      </c>
      <c r="H41" s="15">
        <f>IF(D41="","",D41*F41-G41)</f>
        <v/>
      </c>
      <c r="I41" s="16">
        <f>IF(A41="","",YEAR(A41))</f>
        <v/>
      </c>
      <c r="J41" s="16">
        <f>IF(A41="","",MONTH(A41))</f>
        <v/>
      </c>
    </row>
    <row r="42">
      <c r="A42" s="11" t="n"/>
      <c r="B42" s="12" t="n"/>
      <c r="C42" s="12" t="n"/>
      <c r="D42" s="13" t="n"/>
      <c r="E42" s="12" t="n"/>
      <c r="F42" s="14">
        <f>IF(D42="","",IF(C42="Физлицо",0.04,0.06))</f>
        <v/>
      </c>
      <c r="G42" s="15">
        <f>IF(D42="","",MIN(MAX(Старт!$B$6-SUM(G$1:G41),0),D42*IF(C42="Физлицо",0.01,0.02)))</f>
        <v/>
      </c>
      <c r="H42" s="15">
        <f>IF(D42="","",D42*F42-G42)</f>
        <v/>
      </c>
      <c r="I42" s="16">
        <f>IF(A42="","",YEAR(A42))</f>
        <v/>
      </c>
      <c r="J42" s="16">
        <f>IF(A42="","",MONTH(A42))</f>
        <v/>
      </c>
    </row>
    <row r="43">
      <c r="A43" s="11" t="n"/>
      <c r="B43" s="12" t="n"/>
      <c r="C43" s="12" t="n"/>
      <c r="D43" s="13" t="n"/>
      <c r="E43" s="12" t="n"/>
      <c r="F43" s="14">
        <f>IF(D43="","",IF(C43="Физлицо",0.04,0.06))</f>
        <v/>
      </c>
      <c r="G43" s="15">
        <f>IF(D43="","",MIN(MAX(Старт!$B$6-SUM(G$1:G42),0),D43*IF(C43="Физлицо",0.01,0.02)))</f>
        <v/>
      </c>
      <c r="H43" s="15">
        <f>IF(D43="","",D43*F43-G43)</f>
        <v/>
      </c>
      <c r="I43" s="16">
        <f>IF(A43="","",YEAR(A43))</f>
        <v/>
      </c>
      <c r="J43" s="16">
        <f>IF(A43="","",MONTH(A43))</f>
        <v/>
      </c>
    </row>
    <row r="44">
      <c r="A44" s="11" t="n"/>
      <c r="B44" s="12" t="n"/>
      <c r="C44" s="12" t="n"/>
      <c r="D44" s="13" t="n"/>
      <c r="E44" s="12" t="n"/>
      <c r="F44" s="14">
        <f>IF(D44="","",IF(C44="Физлицо",0.04,0.06))</f>
        <v/>
      </c>
      <c r="G44" s="15">
        <f>IF(D44="","",MIN(MAX(Старт!$B$6-SUM(G$1:G43),0),D44*IF(C44="Физлицо",0.01,0.02)))</f>
        <v/>
      </c>
      <c r="H44" s="15">
        <f>IF(D44="","",D44*F44-G44)</f>
        <v/>
      </c>
      <c r="I44" s="16">
        <f>IF(A44="","",YEAR(A44))</f>
        <v/>
      </c>
      <c r="J44" s="16">
        <f>IF(A44="","",MONTH(A44))</f>
        <v/>
      </c>
    </row>
    <row r="45">
      <c r="A45" s="11" t="n"/>
      <c r="B45" s="12" t="n"/>
      <c r="C45" s="12" t="n"/>
      <c r="D45" s="13" t="n"/>
      <c r="E45" s="12" t="n"/>
      <c r="F45" s="14">
        <f>IF(D45="","",IF(C45="Физлицо",0.04,0.06))</f>
        <v/>
      </c>
      <c r="G45" s="15">
        <f>IF(D45="","",MIN(MAX(Старт!$B$6-SUM(G$1:G44),0),D45*IF(C45="Физлицо",0.01,0.02)))</f>
        <v/>
      </c>
      <c r="H45" s="15">
        <f>IF(D45="","",D45*F45-G45)</f>
        <v/>
      </c>
      <c r="I45" s="16">
        <f>IF(A45="","",YEAR(A45))</f>
        <v/>
      </c>
      <c r="J45" s="16">
        <f>IF(A45="","",MONTH(A45))</f>
        <v/>
      </c>
    </row>
    <row r="46">
      <c r="A46" s="11" t="n"/>
      <c r="B46" s="12" t="n"/>
      <c r="C46" s="12" t="n"/>
      <c r="D46" s="13" t="n"/>
      <c r="E46" s="12" t="n"/>
      <c r="F46" s="14">
        <f>IF(D46="","",IF(C46="Физлицо",0.04,0.06))</f>
        <v/>
      </c>
      <c r="G46" s="15">
        <f>IF(D46="","",MIN(MAX(Старт!$B$6-SUM(G$1:G45),0),D46*IF(C46="Физлицо",0.01,0.02)))</f>
        <v/>
      </c>
      <c r="H46" s="15">
        <f>IF(D46="","",D46*F46-G46)</f>
        <v/>
      </c>
      <c r="I46" s="16">
        <f>IF(A46="","",YEAR(A46))</f>
        <v/>
      </c>
      <c r="J46" s="16">
        <f>IF(A46="","",MONTH(A46))</f>
        <v/>
      </c>
    </row>
    <row r="47">
      <c r="A47" s="11" t="n"/>
      <c r="B47" s="12" t="n"/>
      <c r="C47" s="12" t="n"/>
      <c r="D47" s="13" t="n"/>
      <c r="E47" s="12" t="n"/>
      <c r="F47" s="14">
        <f>IF(D47="","",IF(C47="Физлицо",0.04,0.06))</f>
        <v/>
      </c>
      <c r="G47" s="15">
        <f>IF(D47="","",MIN(MAX(Старт!$B$6-SUM(G$1:G46),0),D47*IF(C47="Физлицо",0.01,0.02)))</f>
        <v/>
      </c>
      <c r="H47" s="15">
        <f>IF(D47="","",D47*F47-G47)</f>
        <v/>
      </c>
      <c r="I47" s="16">
        <f>IF(A47="","",YEAR(A47))</f>
        <v/>
      </c>
      <c r="J47" s="16">
        <f>IF(A47="","",MONTH(A47))</f>
        <v/>
      </c>
    </row>
    <row r="48">
      <c r="A48" s="11" t="n"/>
      <c r="B48" s="12" t="n"/>
      <c r="C48" s="12" t="n"/>
      <c r="D48" s="13" t="n"/>
      <c r="E48" s="12" t="n"/>
      <c r="F48" s="14">
        <f>IF(D48="","",IF(C48="Физлицо",0.04,0.06))</f>
        <v/>
      </c>
      <c r="G48" s="15">
        <f>IF(D48="","",MIN(MAX(Старт!$B$6-SUM(G$1:G47),0),D48*IF(C48="Физлицо",0.01,0.02)))</f>
        <v/>
      </c>
      <c r="H48" s="15">
        <f>IF(D48="","",D48*F48-G48)</f>
        <v/>
      </c>
      <c r="I48" s="16">
        <f>IF(A48="","",YEAR(A48))</f>
        <v/>
      </c>
      <c r="J48" s="16">
        <f>IF(A48="","",MONTH(A48))</f>
        <v/>
      </c>
    </row>
    <row r="49">
      <c r="A49" s="11" t="n"/>
      <c r="B49" s="12" t="n"/>
      <c r="C49" s="12" t="n"/>
      <c r="D49" s="13" t="n"/>
      <c r="E49" s="12" t="n"/>
      <c r="F49" s="14">
        <f>IF(D49="","",IF(C49="Физлицо",0.04,0.06))</f>
        <v/>
      </c>
      <c r="G49" s="15">
        <f>IF(D49="","",MIN(MAX(Старт!$B$6-SUM(G$1:G48),0),D49*IF(C49="Физлицо",0.01,0.02)))</f>
        <v/>
      </c>
      <c r="H49" s="15">
        <f>IF(D49="","",D49*F49-G49)</f>
        <v/>
      </c>
      <c r="I49" s="16">
        <f>IF(A49="","",YEAR(A49))</f>
        <v/>
      </c>
      <c r="J49" s="16">
        <f>IF(A49="","",MONTH(A49))</f>
        <v/>
      </c>
    </row>
    <row r="50">
      <c r="A50" s="11" t="n"/>
      <c r="B50" s="12" t="n"/>
      <c r="C50" s="12" t="n"/>
      <c r="D50" s="13" t="n"/>
      <c r="E50" s="12" t="n"/>
      <c r="F50" s="14">
        <f>IF(D50="","",IF(C50="Физлицо",0.04,0.06))</f>
        <v/>
      </c>
      <c r="G50" s="15">
        <f>IF(D50="","",MIN(MAX(Старт!$B$6-SUM(G$1:G49),0),D50*IF(C50="Физлицо",0.01,0.02)))</f>
        <v/>
      </c>
      <c r="H50" s="15">
        <f>IF(D50="","",D50*F50-G50)</f>
        <v/>
      </c>
      <c r="I50" s="16">
        <f>IF(A50="","",YEAR(A50))</f>
        <v/>
      </c>
      <c r="J50" s="16">
        <f>IF(A50="","",MONTH(A50))</f>
        <v/>
      </c>
    </row>
    <row r="51">
      <c r="A51" s="11" t="n"/>
      <c r="B51" s="12" t="n"/>
      <c r="C51" s="12" t="n"/>
      <c r="D51" s="13" t="n"/>
      <c r="E51" s="12" t="n"/>
      <c r="F51" s="14">
        <f>IF(D51="","",IF(C51="Физлицо",0.04,0.06))</f>
        <v/>
      </c>
      <c r="G51" s="15">
        <f>IF(D51="","",MIN(MAX(Старт!$B$6-SUM(G$1:G50),0),D51*IF(C51="Физлицо",0.01,0.02)))</f>
        <v/>
      </c>
      <c r="H51" s="15">
        <f>IF(D51="","",D51*F51-G51)</f>
        <v/>
      </c>
      <c r="I51" s="16">
        <f>IF(A51="","",YEAR(A51))</f>
        <v/>
      </c>
      <c r="J51" s="16">
        <f>IF(A51="","",MONTH(A51))</f>
        <v/>
      </c>
    </row>
    <row r="52">
      <c r="A52" s="11" t="n"/>
      <c r="B52" s="12" t="n"/>
      <c r="C52" s="12" t="n"/>
      <c r="D52" s="13" t="n"/>
      <c r="E52" s="12" t="n"/>
      <c r="F52" s="14">
        <f>IF(D52="","",IF(C52="Физлицо",0.04,0.06))</f>
        <v/>
      </c>
      <c r="G52" s="15">
        <f>IF(D52="","",MIN(MAX(Старт!$B$6-SUM(G$1:G51),0),D52*IF(C52="Физлицо",0.01,0.02)))</f>
        <v/>
      </c>
      <c r="H52" s="15">
        <f>IF(D52="","",D52*F52-G52)</f>
        <v/>
      </c>
      <c r="I52" s="16">
        <f>IF(A52="","",YEAR(A52))</f>
        <v/>
      </c>
      <c r="J52" s="16">
        <f>IF(A52="","",MONTH(A52))</f>
        <v/>
      </c>
    </row>
    <row r="53">
      <c r="A53" s="11" t="n"/>
      <c r="B53" s="12" t="n"/>
      <c r="C53" s="12" t="n"/>
      <c r="D53" s="13" t="n"/>
      <c r="E53" s="12" t="n"/>
      <c r="F53" s="14">
        <f>IF(D53="","",IF(C53="Физлицо",0.04,0.06))</f>
        <v/>
      </c>
      <c r="G53" s="15">
        <f>IF(D53="","",MIN(MAX(Старт!$B$6-SUM(G$1:G52),0),D53*IF(C53="Физлицо",0.01,0.02)))</f>
        <v/>
      </c>
      <c r="H53" s="15">
        <f>IF(D53="","",D53*F53-G53)</f>
        <v/>
      </c>
      <c r="I53" s="16">
        <f>IF(A53="","",YEAR(A53))</f>
        <v/>
      </c>
      <c r="J53" s="16">
        <f>IF(A53="","",MONTH(A53))</f>
        <v/>
      </c>
    </row>
    <row r="54">
      <c r="A54" s="11" t="n"/>
      <c r="B54" s="12" t="n"/>
      <c r="C54" s="12" t="n"/>
      <c r="D54" s="13" t="n"/>
      <c r="E54" s="12" t="n"/>
      <c r="F54" s="14">
        <f>IF(D54="","",IF(C54="Физлицо",0.04,0.06))</f>
        <v/>
      </c>
      <c r="G54" s="15">
        <f>IF(D54="","",MIN(MAX(Старт!$B$6-SUM(G$1:G53),0),D54*IF(C54="Физлицо",0.01,0.02)))</f>
        <v/>
      </c>
      <c r="H54" s="15">
        <f>IF(D54="","",D54*F54-G54)</f>
        <v/>
      </c>
      <c r="I54" s="16">
        <f>IF(A54="","",YEAR(A54))</f>
        <v/>
      </c>
      <c r="J54" s="16">
        <f>IF(A54="","",MONTH(A54))</f>
        <v/>
      </c>
    </row>
    <row r="55">
      <c r="A55" s="11" t="n"/>
      <c r="B55" s="12" t="n"/>
      <c r="C55" s="12" t="n"/>
      <c r="D55" s="13" t="n"/>
      <c r="E55" s="12" t="n"/>
      <c r="F55" s="14">
        <f>IF(D55="","",IF(C55="Физлицо",0.04,0.06))</f>
        <v/>
      </c>
      <c r="G55" s="15">
        <f>IF(D55="","",MIN(MAX(Старт!$B$6-SUM(G$1:G54),0),D55*IF(C55="Физлицо",0.01,0.02)))</f>
        <v/>
      </c>
      <c r="H55" s="15">
        <f>IF(D55="","",D55*F55-G55)</f>
        <v/>
      </c>
      <c r="I55" s="16">
        <f>IF(A55="","",YEAR(A55))</f>
        <v/>
      </c>
      <c r="J55" s="16">
        <f>IF(A55="","",MONTH(A55))</f>
        <v/>
      </c>
    </row>
    <row r="56">
      <c r="A56" s="11" t="n"/>
      <c r="B56" s="12" t="n"/>
      <c r="C56" s="12" t="n"/>
      <c r="D56" s="13" t="n"/>
      <c r="E56" s="12" t="n"/>
      <c r="F56" s="14">
        <f>IF(D56="","",IF(C56="Физлицо",0.04,0.06))</f>
        <v/>
      </c>
      <c r="G56" s="15">
        <f>IF(D56="","",MIN(MAX(Старт!$B$6-SUM(G$1:G55),0),D56*IF(C56="Физлицо",0.01,0.02)))</f>
        <v/>
      </c>
      <c r="H56" s="15">
        <f>IF(D56="","",D56*F56-G56)</f>
        <v/>
      </c>
      <c r="I56" s="16">
        <f>IF(A56="","",YEAR(A56))</f>
        <v/>
      </c>
      <c r="J56" s="16">
        <f>IF(A56="","",MONTH(A56))</f>
        <v/>
      </c>
    </row>
    <row r="57">
      <c r="A57" s="11" t="n"/>
      <c r="B57" s="12" t="n"/>
      <c r="C57" s="12" t="n"/>
      <c r="D57" s="13" t="n"/>
      <c r="E57" s="12" t="n"/>
      <c r="F57" s="14">
        <f>IF(D57="","",IF(C57="Физлицо",0.04,0.06))</f>
        <v/>
      </c>
      <c r="G57" s="15">
        <f>IF(D57="","",MIN(MAX(Старт!$B$6-SUM(G$1:G56),0),D57*IF(C57="Физлицо",0.01,0.02)))</f>
        <v/>
      </c>
      <c r="H57" s="15">
        <f>IF(D57="","",D57*F57-G57)</f>
        <v/>
      </c>
      <c r="I57" s="16">
        <f>IF(A57="","",YEAR(A57))</f>
        <v/>
      </c>
      <c r="J57" s="16">
        <f>IF(A57="","",MONTH(A57))</f>
        <v/>
      </c>
    </row>
    <row r="58">
      <c r="A58" s="11" t="n"/>
      <c r="B58" s="12" t="n"/>
      <c r="C58" s="12" t="n"/>
      <c r="D58" s="13" t="n"/>
      <c r="E58" s="12" t="n"/>
      <c r="F58" s="14">
        <f>IF(D58="","",IF(C58="Физлицо",0.04,0.06))</f>
        <v/>
      </c>
      <c r="G58" s="15">
        <f>IF(D58="","",MIN(MAX(Старт!$B$6-SUM(G$1:G57),0),D58*IF(C58="Физлицо",0.01,0.02)))</f>
        <v/>
      </c>
      <c r="H58" s="15">
        <f>IF(D58="","",D58*F58-G58)</f>
        <v/>
      </c>
      <c r="I58" s="16">
        <f>IF(A58="","",YEAR(A58))</f>
        <v/>
      </c>
      <c r="J58" s="16">
        <f>IF(A58="","",MONTH(A58))</f>
        <v/>
      </c>
    </row>
    <row r="59">
      <c r="A59" s="11" t="n"/>
      <c r="B59" s="12" t="n"/>
      <c r="C59" s="12" t="n"/>
      <c r="D59" s="13" t="n"/>
      <c r="E59" s="12" t="n"/>
      <c r="F59" s="14">
        <f>IF(D59="","",IF(C59="Физлицо",0.04,0.06))</f>
        <v/>
      </c>
      <c r="G59" s="15">
        <f>IF(D59="","",MIN(MAX(Старт!$B$6-SUM(G$1:G58),0),D59*IF(C59="Физлицо",0.01,0.02)))</f>
        <v/>
      </c>
      <c r="H59" s="15">
        <f>IF(D59="","",D59*F59-G59)</f>
        <v/>
      </c>
      <c r="I59" s="16">
        <f>IF(A59="","",YEAR(A59))</f>
        <v/>
      </c>
      <c r="J59" s="16">
        <f>IF(A59="","",MONTH(A59))</f>
        <v/>
      </c>
    </row>
    <row r="60">
      <c r="A60" s="11" t="n"/>
      <c r="B60" s="12" t="n"/>
      <c r="C60" s="12" t="n"/>
      <c r="D60" s="13" t="n"/>
      <c r="E60" s="12" t="n"/>
      <c r="F60" s="14">
        <f>IF(D60="","",IF(C60="Физлицо",0.04,0.06))</f>
        <v/>
      </c>
      <c r="G60" s="15">
        <f>IF(D60="","",MIN(MAX(Старт!$B$6-SUM(G$1:G59),0),D60*IF(C60="Физлицо",0.01,0.02)))</f>
        <v/>
      </c>
      <c r="H60" s="15">
        <f>IF(D60="","",D60*F60-G60)</f>
        <v/>
      </c>
      <c r="I60" s="16">
        <f>IF(A60="","",YEAR(A60))</f>
        <v/>
      </c>
      <c r="J60" s="16">
        <f>IF(A60="","",MONTH(A60))</f>
        <v/>
      </c>
    </row>
    <row r="61">
      <c r="A61" s="11" t="n"/>
      <c r="B61" s="12" t="n"/>
      <c r="C61" s="12" t="n"/>
      <c r="D61" s="13" t="n"/>
      <c r="E61" s="12" t="n"/>
      <c r="F61" s="14">
        <f>IF(D61="","",IF(C61="Физлицо",0.04,0.06))</f>
        <v/>
      </c>
      <c r="G61" s="15">
        <f>IF(D61="","",MIN(MAX(Старт!$B$6-SUM(G$1:G60),0),D61*IF(C61="Физлицо",0.01,0.02)))</f>
        <v/>
      </c>
      <c r="H61" s="15">
        <f>IF(D61="","",D61*F61-G61)</f>
        <v/>
      </c>
      <c r="I61" s="16">
        <f>IF(A61="","",YEAR(A61))</f>
        <v/>
      </c>
      <c r="J61" s="16">
        <f>IF(A61="","",MONTH(A61))</f>
        <v/>
      </c>
    </row>
    <row r="62">
      <c r="A62" s="11" t="n"/>
      <c r="B62" s="12" t="n"/>
      <c r="C62" s="12" t="n"/>
      <c r="D62" s="13" t="n"/>
      <c r="E62" s="12" t="n"/>
      <c r="F62" s="14">
        <f>IF(D62="","",IF(C62="Физлицо",0.04,0.06))</f>
        <v/>
      </c>
      <c r="G62" s="15">
        <f>IF(D62="","",MIN(MAX(Старт!$B$6-SUM(G$1:G61),0),D62*IF(C62="Физлицо",0.01,0.02)))</f>
        <v/>
      </c>
      <c r="H62" s="15">
        <f>IF(D62="","",D62*F62-G62)</f>
        <v/>
      </c>
      <c r="I62" s="16">
        <f>IF(A62="","",YEAR(A62))</f>
        <v/>
      </c>
      <c r="J62" s="16">
        <f>IF(A62="","",MONTH(A62))</f>
        <v/>
      </c>
    </row>
    <row r="63">
      <c r="A63" s="11" t="n"/>
      <c r="B63" s="12" t="n"/>
      <c r="C63" s="12" t="n"/>
      <c r="D63" s="13" t="n"/>
      <c r="E63" s="12" t="n"/>
      <c r="F63" s="14">
        <f>IF(D63="","",IF(C63="Физлицо",0.04,0.06))</f>
        <v/>
      </c>
      <c r="G63" s="15">
        <f>IF(D63="","",MIN(MAX(Старт!$B$6-SUM(G$1:G62),0),D63*IF(C63="Физлицо",0.01,0.02)))</f>
        <v/>
      </c>
      <c r="H63" s="15">
        <f>IF(D63="","",D63*F63-G63)</f>
        <v/>
      </c>
      <c r="I63" s="16">
        <f>IF(A63="","",YEAR(A63))</f>
        <v/>
      </c>
      <c r="J63" s="16">
        <f>IF(A63="","",MONTH(A63))</f>
        <v/>
      </c>
    </row>
    <row r="64">
      <c r="A64" s="11" t="n"/>
      <c r="B64" s="12" t="n"/>
      <c r="C64" s="12" t="n"/>
      <c r="D64" s="13" t="n"/>
      <c r="E64" s="12" t="n"/>
      <c r="F64" s="14">
        <f>IF(D64="","",IF(C64="Физлицо",0.04,0.06))</f>
        <v/>
      </c>
      <c r="G64" s="15">
        <f>IF(D64="","",MIN(MAX(Старт!$B$6-SUM(G$1:G63),0),D64*IF(C64="Физлицо",0.01,0.02)))</f>
        <v/>
      </c>
      <c r="H64" s="15">
        <f>IF(D64="","",D64*F64-G64)</f>
        <v/>
      </c>
      <c r="I64" s="16">
        <f>IF(A64="","",YEAR(A64))</f>
        <v/>
      </c>
      <c r="J64" s="16">
        <f>IF(A64="","",MONTH(A64))</f>
        <v/>
      </c>
    </row>
    <row r="65">
      <c r="A65" s="11" t="n"/>
      <c r="B65" s="12" t="n"/>
      <c r="C65" s="12" t="n"/>
      <c r="D65" s="13" t="n"/>
      <c r="E65" s="12" t="n"/>
      <c r="F65" s="14">
        <f>IF(D65="","",IF(C65="Физлицо",0.04,0.06))</f>
        <v/>
      </c>
      <c r="G65" s="15">
        <f>IF(D65="","",MIN(MAX(Старт!$B$6-SUM(G$1:G64),0),D65*IF(C65="Физлицо",0.01,0.02)))</f>
        <v/>
      </c>
      <c r="H65" s="15">
        <f>IF(D65="","",D65*F65-G65)</f>
        <v/>
      </c>
      <c r="I65" s="16">
        <f>IF(A65="","",YEAR(A65))</f>
        <v/>
      </c>
      <c r="J65" s="16">
        <f>IF(A65="","",MONTH(A65))</f>
        <v/>
      </c>
    </row>
    <row r="66">
      <c r="A66" s="11" t="n"/>
      <c r="B66" s="12" t="n"/>
      <c r="C66" s="12" t="n"/>
      <c r="D66" s="13" t="n"/>
      <c r="E66" s="12" t="n"/>
      <c r="F66" s="14">
        <f>IF(D66="","",IF(C66="Физлицо",0.04,0.06))</f>
        <v/>
      </c>
      <c r="G66" s="15">
        <f>IF(D66="","",MIN(MAX(Старт!$B$6-SUM(G$1:G65),0),D66*IF(C66="Физлицо",0.01,0.02)))</f>
        <v/>
      </c>
      <c r="H66" s="15">
        <f>IF(D66="","",D66*F66-G66)</f>
        <v/>
      </c>
      <c r="I66" s="16">
        <f>IF(A66="","",YEAR(A66))</f>
        <v/>
      </c>
      <c r="J66" s="16">
        <f>IF(A66="","",MONTH(A66))</f>
        <v/>
      </c>
    </row>
    <row r="67">
      <c r="A67" s="11" t="n"/>
      <c r="B67" s="12" t="n"/>
      <c r="C67" s="12" t="n"/>
      <c r="D67" s="13" t="n"/>
      <c r="E67" s="12" t="n"/>
      <c r="F67" s="14">
        <f>IF(D67="","",IF(C67="Физлицо",0.04,0.06))</f>
        <v/>
      </c>
      <c r="G67" s="15">
        <f>IF(D67="","",MIN(MAX(Старт!$B$6-SUM(G$1:G66),0),D67*IF(C67="Физлицо",0.01,0.02)))</f>
        <v/>
      </c>
      <c r="H67" s="15">
        <f>IF(D67="","",D67*F67-G67)</f>
        <v/>
      </c>
      <c r="I67" s="16">
        <f>IF(A67="","",YEAR(A67))</f>
        <v/>
      </c>
      <c r="J67" s="16">
        <f>IF(A67="","",MONTH(A67))</f>
        <v/>
      </c>
    </row>
    <row r="68">
      <c r="A68" s="11" t="n"/>
      <c r="B68" s="12" t="n"/>
      <c r="C68" s="12" t="n"/>
      <c r="D68" s="13" t="n"/>
      <c r="E68" s="12" t="n"/>
      <c r="F68" s="14">
        <f>IF(D68="","",IF(C68="Физлицо",0.04,0.06))</f>
        <v/>
      </c>
      <c r="G68" s="15">
        <f>IF(D68="","",MIN(MAX(Старт!$B$6-SUM(G$1:G67),0),D68*IF(C68="Физлицо",0.01,0.02)))</f>
        <v/>
      </c>
      <c r="H68" s="15">
        <f>IF(D68="","",D68*F68-G68)</f>
        <v/>
      </c>
      <c r="I68" s="16">
        <f>IF(A68="","",YEAR(A68))</f>
        <v/>
      </c>
      <c r="J68" s="16">
        <f>IF(A68="","",MONTH(A68))</f>
        <v/>
      </c>
    </row>
    <row r="69">
      <c r="A69" s="11" t="n"/>
      <c r="B69" s="12" t="n"/>
      <c r="C69" s="12" t="n"/>
      <c r="D69" s="13" t="n"/>
      <c r="E69" s="12" t="n"/>
      <c r="F69" s="14">
        <f>IF(D69="","",IF(C69="Физлицо",0.04,0.06))</f>
        <v/>
      </c>
      <c r="G69" s="15">
        <f>IF(D69="","",MIN(MAX(Старт!$B$6-SUM(G$1:G68),0),D69*IF(C69="Физлицо",0.01,0.02)))</f>
        <v/>
      </c>
      <c r="H69" s="15">
        <f>IF(D69="","",D69*F69-G69)</f>
        <v/>
      </c>
      <c r="I69" s="16">
        <f>IF(A69="","",YEAR(A69))</f>
        <v/>
      </c>
      <c r="J69" s="16">
        <f>IF(A69="","",MONTH(A69))</f>
        <v/>
      </c>
    </row>
    <row r="70">
      <c r="A70" s="11" t="n"/>
      <c r="B70" s="12" t="n"/>
      <c r="C70" s="12" t="n"/>
      <c r="D70" s="13" t="n"/>
      <c r="E70" s="12" t="n"/>
      <c r="F70" s="14">
        <f>IF(D70="","",IF(C70="Физлицо",0.04,0.06))</f>
        <v/>
      </c>
      <c r="G70" s="15">
        <f>IF(D70="","",MIN(MAX(Старт!$B$6-SUM(G$1:G69),0),D70*IF(C70="Физлицо",0.01,0.02)))</f>
        <v/>
      </c>
      <c r="H70" s="15">
        <f>IF(D70="","",D70*F70-G70)</f>
        <v/>
      </c>
      <c r="I70" s="16">
        <f>IF(A70="","",YEAR(A70))</f>
        <v/>
      </c>
      <c r="J70" s="16">
        <f>IF(A70="","",MONTH(A70))</f>
        <v/>
      </c>
    </row>
    <row r="71">
      <c r="A71" s="11" t="n"/>
      <c r="B71" s="12" t="n"/>
      <c r="C71" s="12" t="n"/>
      <c r="D71" s="13" t="n"/>
      <c r="E71" s="12" t="n"/>
      <c r="F71" s="14">
        <f>IF(D71="","",IF(C71="Физлицо",0.04,0.06))</f>
        <v/>
      </c>
      <c r="G71" s="15">
        <f>IF(D71="","",MIN(MAX(Старт!$B$6-SUM(G$1:G70),0),D71*IF(C71="Физлицо",0.01,0.02)))</f>
        <v/>
      </c>
      <c r="H71" s="15">
        <f>IF(D71="","",D71*F71-G71)</f>
        <v/>
      </c>
      <c r="I71" s="16">
        <f>IF(A71="","",YEAR(A71))</f>
        <v/>
      </c>
      <c r="J71" s="16">
        <f>IF(A71="","",MONTH(A71))</f>
        <v/>
      </c>
    </row>
    <row r="72">
      <c r="A72" s="11" t="n"/>
      <c r="B72" s="12" t="n"/>
      <c r="C72" s="12" t="n"/>
      <c r="D72" s="13" t="n"/>
      <c r="E72" s="12" t="n"/>
      <c r="F72" s="14">
        <f>IF(D72="","",IF(C72="Физлицо",0.04,0.06))</f>
        <v/>
      </c>
      <c r="G72" s="15">
        <f>IF(D72="","",MIN(MAX(Старт!$B$6-SUM(G$1:G71),0),D72*IF(C72="Физлицо",0.01,0.02)))</f>
        <v/>
      </c>
      <c r="H72" s="15">
        <f>IF(D72="","",D72*F72-G72)</f>
        <v/>
      </c>
      <c r="I72" s="16">
        <f>IF(A72="","",YEAR(A72))</f>
        <v/>
      </c>
      <c r="J72" s="16">
        <f>IF(A72="","",MONTH(A72))</f>
        <v/>
      </c>
    </row>
    <row r="73">
      <c r="A73" s="11" t="n"/>
      <c r="B73" s="12" t="n"/>
      <c r="C73" s="12" t="n"/>
      <c r="D73" s="13" t="n"/>
      <c r="E73" s="12" t="n"/>
      <c r="F73" s="14">
        <f>IF(D73="","",IF(C73="Физлицо",0.04,0.06))</f>
        <v/>
      </c>
      <c r="G73" s="15">
        <f>IF(D73="","",MIN(MAX(Старт!$B$6-SUM(G$1:G72),0),D73*IF(C73="Физлицо",0.01,0.02)))</f>
        <v/>
      </c>
      <c r="H73" s="15">
        <f>IF(D73="","",D73*F73-G73)</f>
        <v/>
      </c>
      <c r="I73" s="16">
        <f>IF(A73="","",YEAR(A73))</f>
        <v/>
      </c>
      <c r="J73" s="16">
        <f>IF(A73="","",MONTH(A73))</f>
        <v/>
      </c>
    </row>
    <row r="74">
      <c r="A74" s="11" t="n"/>
      <c r="B74" s="12" t="n"/>
      <c r="C74" s="12" t="n"/>
      <c r="D74" s="13" t="n"/>
      <c r="E74" s="12" t="n"/>
      <c r="F74" s="14">
        <f>IF(D74="","",IF(C74="Физлицо",0.04,0.06))</f>
        <v/>
      </c>
      <c r="G74" s="15">
        <f>IF(D74="","",MIN(MAX(Старт!$B$6-SUM(G$1:G73),0),D74*IF(C74="Физлицо",0.01,0.02)))</f>
        <v/>
      </c>
      <c r="H74" s="15">
        <f>IF(D74="","",D74*F74-G74)</f>
        <v/>
      </c>
      <c r="I74" s="16">
        <f>IF(A74="","",YEAR(A74))</f>
        <v/>
      </c>
      <c r="J74" s="16">
        <f>IF(A74="","",MONTH(A74))</f>
        <v/>
      </c>
    </row>
    <row r="75">
      <c r="A75" s="11" t="n"/>
      <c r="B75" s="12" t="n"/>
      <c r="C75" s="12" t="n"/>
      <c r="D75" s="13" t="n"/>
      <c r="E75" s="12" t="n"/>
      <c r="F75" s="14">
        <f>IF(D75="","",IF(C75="Физлицо",0.04,0.06))</f>
        <v/>
      </c>
      <c r="G75" s="15">
        <f>IF(D75="","",MIN(MAX(Старт!$B$6-SUM(G$1:G74),0),D75*IF(C75="Физлицо",0.01,0.02)))</f>
        <v/>
      </c>
      <c r="H75" s="15">
        <f>IF(D75="","",D75*F75-G75)</f>
        <v/>
      </c>
      <c r="I75" s="16">
        <f>IF(A75="","",YEAR(A75))</f>
        <v/>
      </c>
      <c r="J75" s="16">
        <f>IF(A75="","",MONTH(A75))</f>
        <v/>
      </c>
    </row>
    <row r="76">
      <c r="A76" s="11" t="n"/>
      <c r="B76" s="12" t="n"/>
      <c r="C76" s="12" t="n"/>
      <c r="D76" s="13" t="n"/>
      <c r="E76" s="12" t="n"/>
      <c r="F76" s="14">
        <f>IF(D76="","",IF(C76="Физлицо",0.04,0.06))</f>
        <v/>
      </c>
      <c r="G76" s="15">
        <f>IF(D76="","",MIN(MAX(Старт!$B$6-SUM(G$1:G75),0),D76*IF(C76="Физлицо",0.01,0.02)))</f>
        <v/>
      </c>
      <c r="H76" s="15">
        <f>IF(D76="","",D76*F76-G76)</f>
        <v/>
      </c>
      <c r="I76" s="16">
        <f>IF(A76="","",YEAR(A76))</f>
        <v/>
      </c>
      <c r="J76" s="16">
        <f>IF(A76="","",MONTH(A76))</f>
        <v/>
      </c>
    </row>
    <row r="77">
      <c r="A77" s="11" t="n"/>
      <c r="B77" s="12" t="n"/>
      <c r="C77" s="12" t="n"/>
      <c r="D77" s="13" t="n"/>
      <c r="E77" s="12" t="n"/>
      <c r="F77" s="14">
        <f>IF(D77="","",IF(C77="Физлицо",0.04,0.06))</f>
        <v/>
      </c>
      <c r="G77" s="15">
        <f>IF(D77="","",MIN(MAX(Старт!$B$6-SUM(G$1:G76),0),D77*IF(C77="Физлицо",0.01,0.02)))</f>
        <v/>
      </c>
      <c r="H77" s="15">
        <f>IF(D77="","",D77*F77-G77)</f>
        <v/>
      </c>
      <c r="I77" s="16">
        <f>IF(A77="","",YEAR(A77))</f>
        <v/>
      </c>
      <c r="J77" s="16">
        <f>IF(A77="","",MONTH(A77))</f>
        <v/>
      </c>
    </row>
    <row r="78">
      <c r="A78" s="11" t="n"/>
      <c r="B78" s="12" t="n"/>
      <c r="C78" s="12" t="n"/>
      <c r="D78" s="13" t="n"/>
      <c r="E78" s="12" t="n"/>
      <c r="F78" s="14">
        <f>IF(D78="","",IF(C78="Физлицо",0.04,0.06))</f>
        <v/>
      </c>
      <c r="G78" s="15">
        <f>IF(D78="","",MIN(MAX(Старт!$B$6-SUM(G$1:G77),0),D78*IF(C78="Физлицо",0.01,0.02)))</f>
        <v/>
      </c>
      <c r="H78" s="15">
        <f>IF(D78="","",D78*F78-G78)</f>
        <v/>
      </c>
      <c r="I78" s="16">
        <f>IF(A78="","",YEAR(A78))</f>
        <v/>
      </c>
      <c r="J78" s="16">
        <f>IF(A78="","",MONTH(A78))</f>
        <v/>
      </c>
    </row>
    <row r="79">
      <c r="A79" s="11" t="n"/>
      <c r="B79" s="12" t="n"/>
      <c r="C79" s="12" t="n"/>
      <c r="D79" s="13" t="n"/>
      <c r="E79" s="12" t="n"/>
      <c r="F79" s="14">
        <f>IF(D79="","",IF(C79="Физлицо",0.04,0.06))</f>
        <v/>
      </c>
      <c r="G79" s="15">
        <f>IF(D79="","",MIN(MAX(Старт!$B$6-SUM(G$1:G78),0),D79*IF(C79="Физлицо",0.01,0.02)))</f>
        <v/>
      </c>
      <c r="H79" s="15">
        <f>IF(D79="","",D79*F79-G79)</f>
        <v/>
      </c>
      <c r="I79" s="16">
        <f>IF(A79="","",YEAR(A79))</f>
        <v/>
      </c>
      <c r="J79" s="16">
        <f>IF(A79="","",MONTH(A79))</f>
        <v/>
      </c>
    </row>
    <row r="80">
      <c r="A80" s="11" t="n"/>
      <c r="B80" s="12" t="n"/>
      <c r="C80" s="12" t="n"/>
      <c r="D80" s="13" t="n"/>
      <c r="E80" s="12" t="n"/>
      <c r="F80" s="14">
        <f>IF(D80="","",IF(C80="Физлицо",0.04,0.06))</f>
        <v/>
      </c>
      <c r="G80" s="15">
        <f>IF(D80="","",MIN(MAX(Старт!$B$6-SUM(G$1:G79),0),D80*IF(C80="Физлицо",0.01,0.02)))</f>
        <v/>
      </c>
      <c r="H80" s="15">
        <f>IF(D80="","",D80*F80-G80)</f>
        <v/>
      </c>
      <c r="I80" s="16">
        <f>IF(A80="","",YEAR(A80))</f>
        <v/>
      </c>
      <c r="J80" s="16">
        <f>IF(A80="","",MONTH(A80))</f>
        <v/>
      </c>
    </row>
    <row r="81">
      <c r="A81" s="11" t="n"/>
      <c r="B81" s="12" t="n"/>
      <c r="C81" s="12" t="n"/>
      <c r="D81" s="13" t="n"/>
      <c r="E81" s="12" t="n"/>
      <c r="F81" s="14">
        <f>IF(D81="","",IF(C81="Физлицо",0.04,0.06))</f>
        <v/>
      </c>
      <c r="G81" s="15">
        <f>IF(D81="","",MIN(MAX(Старт!$B$6-SUM(G$1:G80),0),D81*IF(C81="Физлицо",0.01,0.02)))</f>
        <v/>
      </c>
      <c r="H81" s="15">
        <f>IF(D81="","",D81*F81-G81)</f>
        <v/>
      </c>
      <c r="I81" s="16">
        <f>IF(A81="","",YEAR(A81))</f>
        <v/>
      </c>
      <c r="J81" s="16">
        <f>IF(A81="","",MONTH(A81))</f>
        <v/>
      </c>
    </row>
    <row r="82">
      <c r="A82" s="11" t="n"/>
      <c r="B82" s="12" t="n"/>
      <c r="C82" s="12" t="n"/>
      <c r="D82" s="13" t="n"/>
      <c r="E82" s="12" t="n"/>
      <c r="F82" s="14">
        <f>IF(D82="","",IF(C82="Физлицо",0.04,0.06))</f>
        <v/>
      </c>
      <c r="G82" s="15">
        <f>IF(D82="","",MIN(MAX(Старт!$B$6-SUM(G$1:G81),0),D82*IF(C82="Физлицо",0.01,0.02)))</f>
        <v/>
      </c>
      <c r="H82" s="15">
        <f>IF(D82="","",D82*F82-G82)</f>
        <v/>
      </c>
      <c r="I82" s="16">
        <f>IF(A82="","",YEAR(A82))</f>
        <v/>
      </c>
      <c r="J82" s="16">
        <f>IF(A82="","",MONTH(A82))</f>
        <v/>
      </c>
    </row>
    <row r="83">
      <c r="A83" s="11" t="n"/>
      <c r="B83" s="12" t="n"/>
      <c r="C83" s="12" t="n"/>
      <c r="D83" s="13" t="n"/>
      <c r="E83" s="12" t="n"/>
      <c r="F83" s="14">
        <f>IF(D83="","",IF(C83="Физлицо",0.04,0.06))</f>
        <v/>
      </c>
      <c r="G83" s="15">
        <f>IF(D83="","",MIN(MAX(Старт!$B$6-SUM(G$1:G82),0),D83*IF(C83="Физлицо",0.01,0.02)))</f>
        <v/>
      </c>
      <c r="H83" s="15">
        <f>IF(D83="","",D83*F83-G83)</f>
        <v/>
      </c>
      <c r="I83" s="16">
        <f>IF(A83="","",YEAR(A83))</f>
        <v/>
      </c>
      <c r="J83" s="16">
        <f>IF(A83="","",MONTH(A83))</f>
        <v/>
      </c>
    </row>
    <row r="84">
      <c r="A84" s="11" t="n"/>
      <c r="B84" s="12" t="n"/>
      <c r="C84" s="12" t="n"/>
      <c r="D84" s="13" t="n"/>
      <c r="E84" s="12" t="n"/>
      <c r="F84" s="14">
        <f>IF(D84="","",IF(C84="Физлицо",0.04,0.06))</f>
        <v/>
      </c>
      <c r="G84" s="15">
        <f>IF(D84="","",MIN(MAX(Старт!$B$6-SUM(G$1:G83),0),D84*IF(C84="Физлицо",0.01,0.02)))</f>
        <v/>
      </c>
      <c r="H84" s="15">
        <f>IF(D84="","",D84*F84-G84)</f>
        <v/>
      </c>
      <c r="I84" s="16">
        <f>IF(A84="","",YEAR(A84))</f>
        <v/>
      </c>
      <c r="J84" s="16">
        <f>IF(A84="","",MONTH(A84))</f>
        <v/>
      </c>
    </row>
    <row r="85">
      <c r="A85" s="11" t="n"/>
      <c r="B85" s="12" t="n"/>
      <c r="C85" s="12" t="n"/>
      <c r="D85" s="13" t="n"/>
      <c r="E85" s="12" t="n"/>
      <c r="F85" s="14">
        <f>IF(D85="","",IF(C85="Физлицо",0.04,0.06))</f>
        <v/>
      </c>
      <c r="G85" s="15">
        <f>IF(D85="","",MIN(MAX(Старт!$B$6-SUM(G$1:G84),0),D85*IF(C85="Физлицо",0.01,0.02)))</f>
        <v/>
      </c>
      <c r="H85" s="15">
        <f>IF(D85="","",D85*F85-G85)</f>
        <v/>
      </c>
      <c r="I85" s="16">
        <f>IF(A85="","",YEAR(A85))</f>
        <v/>
      </c>
      <c r="J85" s="16">
        <f>IF(A85="","",MONTH(A85))</f>
        <v/>
      </c>
    </row>
    <row r="86">
      <c r="A86" s="11" t="n"/>
      <c r="B86" s="12" t="n"/>
      <c r="C86" s="12" t="n"/>
      <c r="D86" s="13" t="n"/>
      <c r="E86" s="12" t="n"/>
      <c r="F86" s="14">
        <f>IF(D86="","",IF(C86="Физлицо",0.04,0.06))</f>
        <v/>
      </c>
      <c r="G86" s="15">
        <f>IF(D86="","",MIN(MAX(Старт!$B$6-SUM(G$1:G85),0),D86*IF(C86="Физлицо",0.01,0.02)))</f>
        <v/>
      </c>
      <c r="H86" s="15">
        <f>IF(D86="","",D86*F86-G86)</f>
        <v/>
      </c>
      <c r="I86" s="16">
        <f>IF(A86="","",YEAR(A86))</f>
        <v/>
      </c>
      <c r="J86" s="16">
        <f>IF(A86="","",MONTH(A86))</f>
        <v/>
      </c>
    </row>
    <row r="87">
      <c r="A87" s="11" t="n"/>
      <c r="B87" s="12" t="n"/>
      <c r="C87" s="12" t="n"/>
      <c r="D87" s="13" t="n"/>
      <c r="E87" s="12" t="n"/>
      <c r="F87" s="14">
        <f>IF(D87="","",IF(C87="Физлицо",0.04,0.06))</f>
        <v/>
      </c>
      <c r="G87" s="15">
        <f>IF(D87="","",MIN(MAX(Старт!$B$6-SUM(G$1:G86),0),D87*IF(C87="Физлицо",0.01,0.02)))</f>
        <v/>
      </c>
      <c r="H87" s="15">
        <f>IF(D87="","",D87*F87-G87)</f>
        <v/>
      </c>
      <c r="I87" s="16">
        <f>IF(A87="","",YEAR(A87))</f>
        <v/>
      </c>
      <c r="J87" s="16">
        <f>IF(A87="","",MONTH(A87))</f>
        <v/>
      </c>
    </row>
    <row r="88">
      <c r="A88" s="11" t="n"/>
      <c r="B88" s="12" t="n"/>
      <c r="C88" s="12" t="n"/>
      <c r="D88" s="13" t="n"/>
      <c r="E88" s="12" t="n"/>
      <c r="F88" s="14">
        <f>IF(D88="","",IF(C88="Физлицо",0.04,0.06))</f>
        <v/>
      </c>
      <c r="G88" s="15">
        <f>IF(D88="","",MIN(MAX(Старт!$B$6-SUM(G$1:G87),0),D88*IF(C88="Физлицо",0.01,0.02)))</f>
        <v/>
      </c>
      <c r="H88" s="15">
        <f>IF(D88="","",D88*F88-G88)</f>
        <v/>
      </c>
      <c r="I88" s="16">
        <f>IF(A88="","",YEAR(A88))</f>
        <v/>
      </c>
      <c r="J88" s="16">
        <f>IF(A88="","",MONTH(A88))</f>
        <v/>
      </c>
    </row>
    <row r="89">
      <c r="A89" s="11" t="n"/>
      <c r="B89" s="12" t="n"/>
      <c r="C89" s="12" t="n"/>
      <c r="D89" s="13" t="n"/>
      <c r="E89" s="12" t="n"/>
      <c r="F89" s="14">
        <f>IF(D89="","",IF(C89="Физлицо",0.04,0.06))</f>
        <v/>
      </c>
      <c r="G89" s="15">
        <f>IF(D89="","",MIN(MAX(Старт!$B$6-SUM(G$1:G88),0),D89*IF(C89="Физлицо",0.01,0.02)))</f>
        <v/>
      </c>
      <c r="H89" s="15">
        <f>IF(D89="","",D89*F89-G89)</f>
        <v/>
      </c>
      <c r="I89" s="16">
        <f>IF(A89="","",YEAR(A89))</f>
        <v/>
      </c>
      <c r="J89" s="16">
        <f>IF(A89="","",MONTH(A89))</f>
        <v/>
      </c>
    </row>
    <row r="90">
      <c r="A90" s="11" t="n"/>
      <c r="B90" s="12" t="n"/>
      <c r="C90" s="12" t="n"/>
      <c r="D90" s="13" t="n"/>
      <c r="E90" s="12" t="n"/>
      <c r="F90" s="14">
        <f>IF(D90="","",IF(C90="Физлицо",0.04,0.06))</f>
        <v/>
      </c>
      <c r="G90" s="15">
        <f>IF(D90="","",MIN(MAX(Старт!$B$6-SUM(G$1:G89),0),D90*IF(C90="Физлицо",0.01,0.02)))</f>
        <v/>
      </c>
      <c r="H90" s="15">
        <f>IF(D90="","",D90*F90-G90)</f>
        <v/>
      </c>
      <c r="I90" s="16">
        <f>IF(A90="","",YEAR(A90))</f>
        <v/>
      </c>
      <c r="J90" s="16">
        <f>IF(A90="","",MONTH(A90))</f>
        <v/>
      </c>
    </row>
    <row r="91">
      <c r="A91" s="11" t="n"/>
      <c r="B91" s="12" t="n"/>
      <c r="C91" s="12" t="n"/>
      <c r="D91" s="13" t="n"/>
      <c r="E91" s="12" t="n"/>
      <c r="F91" s="14">
        <f>IF(D91="","",IF(C91="Физлицо",0.04,0.06))</f>
        <v/>
      </c>
      <c r="G91" s="15">
        <f>IF(D91="","",MIN(MAX(Старт!$B$6-SUM(G$1:G90),0),D91*IF(C91="Физлицо",0.01,0.02)))</f>
        <v/>
      </c>
      <c r="H91" s="15">
        <f>IF(D91="","",D91*F91-G91)</f>
        <v/>
      </c>
      <c r="I91" s="16">
        <f>IF(A91="","",YEAR(A91))</f>
        <v/>
      </c>
      <c r="J91" s="16">
        <f>IF(A91="","",MONTH(A91))</f>
        <v/>
      </c>
    </row>
    <row r="92">
      <c r="A92" s="11" t="n"/>
      <c r="B92" s="12" t="n"/>
      <c r="C92" s="12" t="n"/>
      <c r="D92" s="13" t="n"/>
      <c r="E92" s="12" t="n"/>
      <c r="F92" s="14">
        <f>IF(D92="","",IF(C92="Физлицо",0.04,0.06))</f>
        <v/>
      </c>
      <c r="G92" s="15">
        <f>IF(D92="","",MIN(MAX(Старт!$B$6-SUM(G$1:G91),0),D92*IF(C92="Физлицо",0.01,0.02)))</f>
        <v/>
      </c>
      <c r="H92" s="15">
        <f>IF(D92="","",D92*F92-G92)</f>
        <v/>
      </c>
      <c r="I92" s="16">
        <f>IF(A92="","",YEAR(A92))</f>
        <v/>
      </c>
      <c r="J92" s="16">
        <f>IF(A92="","",MONTH(A92))</f>
        <v/>
      </c>
    </row>
    <row r="93">
      <c r="A93" s="11" t="n"/>
      <c r="B93" s="12" t="n"/>
      <c r="C93" s="12" t="n"/>
      <c r="D93" s="13" t="n"/>
      <c r="E93" s="12" t="n"/>
      <c r="F93" s="14">
        <f>IF(D93="","",IF(C93="Физлицо",0.04,0.06))</f>
        <v/>
      </c>
      <c r="G93" s="15">
        <f>IF(D93="","",MIN(MAX(Старт!$B$6-SUM(G$1:G92),0),D93*IF(C93="Физлицо",0.01,0.02)))</f>
        <v/>
      </c>
      <c r="H93" s="15">
        <f>IF(D93="","",D93*F93-G93)</f>
        <v/>
      </c>
      <c r="I93" s="16">
        <f>IF(A93="","",YEAR(A93))</f>
        <v/>
      </c>
      <c r="J93" s="16">
        <f>IF(A93="","",MONTH(A93))</f>
        <v/>
      </c>
    </row>
    <row r="94">
      <c r="A94" s="11" t="n"/>
      <c r="B94" s="12" t="n"/>
      <c r="C94" s="12" t="n"/>
      <c r="D94" s="13" t="n"/>
      <c r="E94" s="12" t="n"/>
      <c r="F94" s="14">
        <f>IF(D94="","",IF(C94="Физлицо",0.04,0.06))</f>
        <v/>
      </c>
      <c r="G94" s="15">
        <f>IF(D94="","",MIN(MAX(Старт!$B$6-SUM(G$1:G93),0),D94*IF(C94="Физлицо",0.01,0.02)))</f>
        <v/>
      </c>
      <c r="H94" s="15">
        <f>IF(D94="","",D94*F94-G94)</f>
        <v/>
      </c>
      <c r="I94" s="16">
        <f>IF(A94="","",YEAR(A94))</f>
        <v/>
      </c>
      <c r="J94" s="16">
        <f>IF(A94="","",MONTH(A94))</f>
        <v/>
      </c>
    </row>
    <row r="95">
      <c r="A95" s="11" t="n"/>
      <c r="B95" s="12" t="n"/>
      <c r="C95" s="12" t="n"/>
      <c r="D95" s="13" t="n"/>
      <c r="E95" s="12" t="n"/>
      <c r="F95" s="14">
        <f>IF(D95="","",IF(C95="Физлицо",0.04,0.06))</f>
        <v/>
      </c>
      <c r="G95" s="15">
        <f>IF(D95="","",MIN(MAX(Старт!$B$6-SUM(G$1:G94),0),D95*IF(C95="Физлицо",0.01,0.02)))</f>
        <v/>
      </c>
      <c r="H95" s="15">
        <f>IF(D95="","",D95*F95-G95)</f>
        <v/>
      </c>
      <c r="I95" s="16">
        <f>IF(A95="","",YEAR(A95))</f>
        <v/>
      </c>
      <c r="J95" s="16">
        <f>IF(A95="","",MONTH(A95))</f>
        <v/>
      </c>
    </row>
    <row r="96">
      <c r="A96" s="11" t="n"/>
      <c r="B96" s="12" t="n"/>
      <c r="C96" s="12" t="n"/>
      <c r="D96" s="13" t="n"/>
      <c r="E96" s="12" t="n"/>
      <c r="F96" s="14">
        <f>IF(D96="","",IF(C96="Физлицо",0.04,0.06))</f>
        <v/>
      </c>
      <c r="G96" s="15">
        <f>IF(D96="","",MIN(MAX(Старт!$B$6-SUM(G$1:G95),0),D96*IF(C96="Физлицо",0.01,0.02)))</f>
        <v/>
      </c>
      <c r="H96" s="15">
        <f>IF(D96="","",D96*F96-G96)</f>
        <v/>
      </c>
      <c r="I96" s="16">
        <f>IF(A96="","",YEAR(A96))</f>
        <v/>
      </c>
      <c r="J96" s="16">
        <f>IF(A96="","",MONTH(A96))</f>
        <v/>
      </c>
    </row>
    <row r="97">
      <c r="A97" s="11" t="n"/>
      <c r="B97" s="12" t="n"/>
      <c r="C97" s="12" t="n"/>
      <c r="D97" s="13" t="n"/>
      <c r="E97" s="12" t="n"/>
      <c r="F97" s="14">
        <f>IF(D97="","",IF(C97="Физлицо",0.04,0.06))</f>
        <v/>
      </c>
      <c r="G97" s="15">
        <f>IF(D97="","",MIN(MAX(Старт!$B$6-SUM(G$1:G96),0),D97*IF(C97="Физлицо",0.01,0.02)))</f>
        <v/>
      </c>
      <c r="H97" s="15">
        <f>IF(D97="","",D97*F97-G97)</f>
        <v/>
      </c>
      <c r="I97" s="16">
        <f>IF(A97="","",YEAR(A97))</f>
        <v/>
      </c>
      <c r="J97" s="16">
        <f>IF(A97="","",MONTH(A97))</f>
        <v/>
      </c>
    </row>
    <row r="98">
      <c r="A98" s="11" t="n"/>
      <c r="B98" s="12" t="n"/>
      <c r="C98" s="12" t="n"/>
      <c r="D98" s="13" t="n"/>
      <c r="E98" s="12" t="n"/>
      <c r="F98" s="14">
        <f>IF(D98="","",IF(C98="Физлицо",0.04,0.06))</f>
        <v/>
      </c>
      <c r="G98" s="15">
        <f>IF(D98="","",MIN(MAX(Старт!$B$6-SUM(G$1:G97),0),D98*IF(C98="Физлицо",0.01,0.02)))</f>
        <v/>
      </c>
      <c r="H98" s="15">
        <f>IF(D98="","",D98*F98-G98)</f>
        <v/>
      </c>
      <c r="I98" s="16">
        <f>IF(A98="","",YEAR(A98))</f>
        <v/>
      </c>
      <c r="J98" s="16">
        <f>IF(A98="","",MONTH(A98))</f>
        <v/>
      </c>
    </row>
    <row r="99">
      <c r="A99" s="11" t="n"/>
      <c r="B99" s="12" t="n"/>
      <c r="C99" s="12" t="n"/>
      <c r="D99" s="13" t="n"/>
      <c r="E99" s="12" t="n"/>
      <c r="F99" s="14">
        <f>IF(D99="","",IF(C99="Физлицо",0.04,0.06))</f>
        <v/>
      </c>
      <c r="G99" s="15">
        <f>IF(D99="","",MIN(MAX(Старт!$B$6-SUM(G$1:G98),0),D99*IF(C99="Физлицо",0.01,0.02)))</f>
        <v/>
      </c>
      <c r="H99" s="15">
        <f>IF(D99="","",D99*F99-G99)</f>
        <v/>
      </c>
      <c r="I99" s="16">
        <f>IF(A99="","",YEAR(A99))</f>
        <v/>
      </c>
      <c r="J99" s="16">
        <f>IF(A99="","",MONTH(A99))</f>
        <v/>
      </c>
    </row>
    <row r="100">
      <c r="A100" s="11" t="n"/>
      <c r="B100" s="12" t="n"/>
      <c r="C100" s="12" t="n"/>
      <c r="D100" s="13" t="n"/>
      <c r="E100" s="12" t="n"/>
      <c r="F100" s="14">
        <f>IF(D100="","",IF(C100="Физлицо",0.04,0.06))</f>
        <v/>
      </c>
      <c r="G100" s="15">
        <f>IF(D100="","",MIN(MAX(Старт!$B$6-SUM(G$1:G99),0),D100*IF(C100="Физлицо",0.01,0.02)))</f>
        <v/>
      </c>
      <c r="H100" s="15">
        <f>IF(D100="","",D100*F100-G100)</f>
        <v/>
      </c>
      <c r="I100" s="16">
        <f>IF(A100="","",YEAR(A100))</f>
        <v/>
      </c>
      <c r="J100" s="16">
        <f>IF(A100="","",MONTH(A100))</f>
        <v/>
      </c>
    </row>
    <row r="101">
      <c r="A101" s="11" t="n"/>
      <c r="B101" s="12" t="n"/>
      <c r="C101" s="12" t="n"/>
      <c r="D101" s="13" t="n"/>
      <c r="E101" s="12" t="n"/>
      <c r="F101" s="14">
        <f>IF(D101="","",IF(C101="Физлицо",0.04,0.06))</f>
        <v/>
      </c>
      <c r="G101" s="15">
        <f>IF(D101="","",MIN(MAX(Старт!$B$6-SUM(G$1:G100),0),D101*IF(C101="Физлицо",0.01,0.02)))</f>
        <v/>
      </c>
      <c r="H101" s="15">
        <f>IF(D101="","",D101*F101-G101)</f>
        <v/>
      </c>
      <c r="I101" s="16">
        <f>IF(A101="","",YEAR(A101))</f>
        <v/>
      </c>
      <c r="J101" s="16">
        <f>IF(A101="","",MONTH(A101))</f>
        <v/>
      </c>
    </row>
    <row r="102">
      <c r="A102" s="11" t="n"/>
      <c r="B102" s="12" t="n"/>
      <c r="C102" s="12" t="n"/>
      <c r="D102" s="13" t="n"/>
      <c r="E102" s="12" t="n"/>
      <c r="F102" s="14">
        <f>IF(D102="","",IF(C102="Физлицо",0.04,0.06))</f>
        <v/>
      </c>
      <c r="G102" s="15">
        <f>IF(D102="","",MIN(MAX(Старт!$B$6-SUM(G$1:G101),0),D102*IF(C102="Физлицо",0.01,0.02)))</f>
        <v/>
      </c>
      <c r="H102" s="15">
        <f>IF(D102="","",D102*F102-G102)</f>
        <v/>
      </c>
      <c r="I102" s="16">
        <f>IF(A102="","",YEAR(A102))</f>
        <v/>
      </c>
      <c r="J102" s="16">
        <f>IF(A102="","",MONTH(A102))</f>
        <v/>
      </c>
    </row>
    <row r="103">
      <c r="A103" s="11" t="n"/>
      <c r="B103" s="12" t="n"/>
      <c r="C103" s="12" t="n"/>
      <c r="D103" s="13" t="n"/>
      <c r="E103" s="12" t="n"/>
      <c r="F103" s="14">
        <f>IF(D103="","",IF(C103="Физлицо",0.04,0.06))</f>
        <v/>
      </c>
      <c r="G103" s="15">
        <f>IF(D103="","",MIN(MAX(Старт!$B$6-SUM(G$1:G102),0),D103*IF(C103="Физлицо",0.01,0.02)))</f>
        <v/>
      </c>
      <c r="H103" s="15">
        <f>IF(D103="","",D103*F103-G103)</f>
        <v/>
      </c>
      <c r="I103" s="16">
        <f>IF(A103="","",YEAR(A103))</f>
        <v/>
      </c>
      <c r="J103" s="16">
        <f>IF(A103="","",MONTH(A103))</f>
        <v/>
      </c>
    </row>
    <row r="104">
      <c r="A104" s="11" t="n"/>
      <c r="B104" s="12" t="n"/>
      <c r="C104" s="12" t="n"/>
      <c r="D104" s="13" t="n"/>
      <c r="E104" s="12" t="n"/>
      <c r="F104" s="14">
        <f>IF(D104="","",IF(C104="Физлицо",0.04,0.06))</f>
        <v/>
      </c>
      <c r="G104" s="15">
        <f>IF(D104="","",MIN(MAX(Старт!$B$6-SUM(G$1:G103),0),D104*IF(C104="Физлицо",0.01,0.02)))</f>
        <v/>
      </c>
      <c r="H104" s="15">
        <f>IF(D104="","",D104*F104-G104)</f>
        <v/>
      </c>
      <c r="I104" s="16">
        <f>IF(A104="","",YEAR(A104))</f>
        <v/>
      </c>
      <c r="J104" s="16">
        <f>IF(A104="","",MONTH(A104))</f>
        <v/>
      </c>
    </row>
    <row r="105">
      <c r="A105" s="11" t="n"/>
      <c r="B105" s="12" t="n"/>
      <c r="C105" s="12" t="n"/>
      <c r="D105" s="13" t="n"/>
      <c r="E105" s="12" t="n"/>
      <c r="F105" s="14">
        <f>IF(D105="","",IF(C105="Физлицо",0.04,0.06))</f>
        <v/>
      </c>
      <c r="G105" s="15">
        <f>IF(D105="","",MIN(MAX(Старт!$B$6-SUM(G$1:G104),0),D105*IF(C105="Физлицо",0.01,0.02)))</f>
        <v/>
      </c>
      <c r="H105" s="15">
        <f>IF(D105="","",D105*F105-G105)</f>
        <v/>
      </c>
      <c r="I105" s="16">
        <f>IF(A105="","",YEAR(A105))</f>
        <v/>
      </c>
      <c r="J105" s="16">
        <f>IF(A105="","",MONTH(A105))</f>
        <v/>
      </c>
    </row>
    <row r="106">
      <c r="A106" s="11" t="n"/>
      <c r="B106" s="12" t="n"/>
      <c r="C106" s="12" t="n"/>
      <c r="D106" s="13" t="n"/>
      <c r="E106" s="12" t="n"/>
      <c r="F106" s="14">
        <f>IF(D106="","",IF(C106="Физлицо",0.04,0.06))</f>
        <v/>
      </c>
      <c r="G106" s="15">
        <f>IF(D106="","",MIN(MAX(Старт!$B$6-SUM(G$1:G105),0),D106*IF(C106="Физлицо",0.01,0.02)))</f>
        <v/>
      </c>
      <c r="H106" s="15">
        <f>IF(D106="","",D106*F106-G106)</f>
        <v/>
      </c>
      <c r="I106" s="16">
        <f>IF(A106="","",YEAR(A106))</f>
        <v/>
      </c>
      <c r="J106" s="16">
        <f>IF(A106="","",MONTH(A106))</f>
        <v/>
      </c>
    </row>
    <row r="107">
      <c r="A107" s="11" t="n"/>
      <c r="B107" s="12" t="n"/>
      <c r="C107" s="12" t="n"/>
      <c r="D107" s="13" t="n"/>
      <c r="E107" s="12" t="n"/>
      <c r="F107" s="14">
        <f>IF(D107="","",IF(C107="Физлицо",0.04,0.06))</f>
        <v/>
      </c>
      <c r="G107" s="15">
        <f>IF(D107="","",MIN(MAX(Старт!$B$6-SUM(G$1:G106),0),D107*IF(C107="Физлицо",0.01,0.02)))</f>
        <v/>
      </c>
      <c r="H107" s="15">
        <f>IF(D107="","",D107*F107-G107)</f>
        <v/>
      </c>
      <c r="I107" s="16">
        <f>IF(A107="","",YEAR(A107))</f>
        <v/>
      </c>
      <c r="J107" s="16">
        <f>IF(A107="","",MONTH(A107))</f>
        <v/>
      </c>
    </row>
    <row r="108">
      <c r="A108" s="11" t="n"/>
      <c r="B108" s="12" t="n"/>
      <c r="C108" s="12" t="n"/>
      <c r="D108" s="13" t="n"/>
      <c r="E108" s="12" t="n"/>
      <c r="F108" s="14">
        <f>IF(D108="","",IF(C108="Физлицо",0.04,0.06))</f>
        <v/>
      </c>
      <c r="G108" s="15">
        <f>IF(D108="","",MIN(MAX(Старт!$B$6-SUM(G$1:G107),0),D108*IF(C108="Физлицо",0.01,0.02)))</f>
        <v/>
      </c>
      <c r="H108" s="15">
        <f>IF(D108="","",D108*F108-G108)</f>
        <v/>
      </c>
      <c r="I108" s="16">
        <f>IF(A108="","",YEAR(A108))</f>
        <v/>
      </c>
      <c r="J108" s="16">
        <f>IF(A108="","",MONTH(A108))</f>
        <v/>
      </c>
    </row>
    <row r="109">
      <c r="A109" s="11" t="n"/>
      <c r="B109" s="12" t="n"/>
      <c r="C109" s="12" t="n"/>
      <c r="D109" s="13" t="n"/>
      <c r="E109" s="12" t="n"/>
      <c r="F109" s="14">
        <f>IF(D109="","",IF(C109="Физлицо",0.04,0.06))</f>
        <v/>
      </c>
      <c r="G109" s="15">
        <f>IF(D109="","",MIN(MAX(Старт!$B$6-SUM(G$1:G108),0),D109*IF(C109="Физлицо",0.01,0.02)))</f>
        <v/>
      </c>
      <c r="H109" s="15">
        <f>IF(D109="","",D109*F109-G109)</f>
        <v/>
      </c>
      <c r="I109" s="16">
        <f>IF(A109="","",YEAR(A109))</f>
        <v/>
      </c>
      <c r="J109" s="16">
        <f>IF(A109="","",MONTH(A109))</f>
        <v/>
      </c>
    </row>
    <row r="110">
      <c r="A110" s="11" t="n"/>
      <c r="B110" s="12" t="n"/>
      <c r="C110" s="12" t="n"/>
      <c r="D110" s="13" t="n"/>
      <c r="E110" s="12" t="n"/>
      <c r="F110" s="14">
        <f>IF(D110="","",IF(C110="Физлицо",0.04,0.06))</f>
        <v/>
      </c>
      <c r="G110" s="15">
        <f>IF(D110="","",MIN(MAX(Старт!$B$6-SUM(G$1:G109),0),D110*IF(C110="Физлицо",0.01,0.02)))</f>
        <v/>
      </c>
      <c r="H110" s="15">
        <f>IF(D110="","",D110*F110-G110)</f>
        <v/>
      </c>
      <c r="I110" s="16">
        <f>IF(A110="","",YEAR(A110))</f>
        <v/>
      </c>
      <c r="J110" s="16">
        <f>IF(A110="","",MONTH(A110))</f>
        <v/>
      </c>
    </row>
    <row r="111">
      <c r="A111" s="11" t="n"/>
      <c r="B111" s="12" t="n"/>
      <c r="C111" s="12" t="n"/>
      <c r="D111" s="13" t="n"/>
      <c r="E111" s="12" t="n"/>
      <c r="F111" s="14">
        <f>IF(D111="","",IF(C111="Физлицо",0.04,0.06))</f>
        <v/>
      </c>
      <c r="G111" s="15">
        <f>IF(D111="","",MIN(MAX(Старт!$B$6-SUM(G$1:G110),0),D111*IF(C111="Физлицо",0.01,0.02)))</f>
        <v/>
      </c>
      <c r="H111" s="15">
        <f>IF(D111="","",D111*F111-G111)</f>
        <v/>
      </c>
      <c r="I111" s="16">
        <f>IF(A111="","",YEAR(A111))</f>
        <v/>
      </c>
      <c r="J111" s="16">
        <f>IF(A111="","",MONTH(A111))</f>
        <v/>
      </c>
    </row>
    <row r="112">
      <c r="A112" s="11" t="n"/>
      <c r="B112" s="12" t="n"/>
      <c r="C112" s="12" t="n"/>
      <c r="D112" s="13" t="n"/>
      <c r="E112" s="12" t="n"/>
      <c r="F112" s="14">
        <f>IF(D112="","",IF(C112="Физлицо",0.04,0.06))</f>
        <v/>
      </c>
      <c r="G112" s="15">
        <f>IF(D112="","",MIN(MAX(Старт!$B$6-SUM(G$1:G111),0),D112*IF(C112="Физлицо",0.01,0.02)))</f>
        <v/>
      </c>
      <c r="H112" s="15">
        <f>IF(D112="","",D112*F112-G112)</f>
        <v/>
      </c>
      <c r="I112" s="16">
        <f>IF(A112="","",YEAR(A112))</f>
        <v/>
      </c>
      <c r="J112" s="16">
        <f>IF(A112="","",MONTH(A112))</f>
        <v/>
      </c>
    </row>
    <row r="113">
      <c r="A113" s="11" t="n"/>
      <c r="B113" s="12" t="n"/>
      <c r="C113" s="12" t="n"/>
      <c r="D113" s="13" t="n"/>
      <c r="E113" s="12" t="n"/>
      <c r="F113" s="14">
        <f>IF(D113="","",IF(C113="Физлицо",0.04,0.06))</f>
        <v/>
      </c>
      <c r="G113" s="15">
        <f>IF(D113="","",MIN(MAX(Старт!$B$6-SUM(G$1:G112),0),D113*IF(C113="Физлицо",0.01,0.02)))</f>
        <v/>
      </c>
      <c r="H113" s="15">
        <f>IF(D113="","",D113*F113-G113)</f>
        <v/>
      </c>
      <c r="I113" s="16">
        <f>IF(A113="","",YEAR(A113))</f>
        <v/>
      </c>
      <c r="J113" s="16">
        <f>IF(A113="","",MONTH(A113))</f>
        <v/>
      </c>
    </row>
    <row r="114">
      <c r="A114" s="11" t="n"/>
      <c r="B114" s="12" t="n"/>
      <c r="C114" s="12" t="n"/>
      <c r="D114" s="13" t="n"/>
      <c r="E114" s="12" t="n"/>
      <c r="F114" s="14">
        <f>IF(D114="","",IF(C114="Физлицо",0.04,0.06))</f>
        <v/>
      </c>
      <c r="G114" s="15">
        <f>IF(D114="","",MIN(MAX(Старт!$B$6-SUM(G$1:G113),0),D114*IF(C114="Физлицо",0.01,0.02)))</f>
        <v/>
      </c>
      <c r="H114" s="15">
        <f>IF(D114="","",D114*F114-G114)</f>
        <v/>
      </c>
      <c r="I114" s="16">
        <f>IF(A114="","",YEAR(A114))</f>
        <v/>
      </c>
      <c r="J114" s="16">
        <f>IF(A114="","",MONTH(A114))</f>
        <v/>
      </c>
    </row>
    <row r="115">
      <c r="A115" s="11" t="n"/>
      <c r="B115" s="12" t="n"/>
      <c r="C115" s="12" t="n"/>
      <c r="D115" s="13" t="n"/>
      <c r="E115" s="12" t="n"/>
      <c r="F115" s="14">
        <f>IF(D115="","",IF(C115="Физлицо",0.04,0.06))</f>
        <v/>
      </c>
      <c r="G115" s="15">
        <f>IF(D115="","",MIN(MAX(Старт!$B$6-SUM(G$1:G114),0),D115*IF(C115="Физлицо",0.01,0.02)))</f>
        <v/>
      </c>
      <c r="H115" s="15">
        <f>IF(D115="","",D115*F115-G115)</f>
        <v/>
      </c>
      <c r="I115" s="16">
        <f>IF(A115="","",YEAR(A115))</f>
        <v/>
      </c>
      <c r="J115" s="16">
        <f>IF(A115="","",MONTH(A115))</f>
        <v/>
      </c>
    </row>
    <row r="116">
      <c r="A116" s="11" t="n"/>
      <c r="B116" s="12" t="n"/>
      <c r="C116" s="12" t="n"/>
      <c r="D116" s="13" t="n"/>
      <c r="E116" s="12" t="n"/>
      <c r="F116" s="14">
        <f>IF(D116="","",IF(C116="Физлицо",0.04,0.06))</f>
        <v/>
      </c>
      <c r="G116" s="15">
        <f>IF(D116="","",MIN(MAX(Старт!$B$6-SUM(G$1:G115),0),D116*IF(C116="Физлицо",0.01,0.02)))</f>
        <v/>
      </c>
      <c r="H116" s="15">
        <f>IF(D116="","",D116*F116-G116)</f>
        <v/>
      </c>
      <c r="I116" s="16">
        <f>IF(A116="","",YEAR(A116))</f>
        <v/>
      </c>
      <c r="J116" s="16">
        <f>IF(A116="","",MONTH(A116))</f>
        <v/>
      </c>
    </row>
    <row r="117">
      <c r="A117" s="11" t="n"/>
      <c r="B117" s="12" t="n"/>
      <c r="C117" s="12" t="n"/>
      <c r="D117" s="13" t="n"/>
      <c r="E117" s="12" t="n"/>
      <c r="F117" s="14">
        <f>IF(D117="","",IF(C117="Физлицо",0.04,0.06))</f>
        <v/>
      </c>
      <c r="G117" s="15">
        <f>IF(D117="","",MIN(MAX(Старт!$B$6-SUM(G$1:G116),0),D117*IF(C117="Физлицо",0.01,0.02)))</f>
        <v/>
      </c>
      <c r="H117" s="15">
        <f>IF(D117="","",D117*F117-G117)</f>
        <v/>
      </c>
      <c r="I117" s="16">
        <f>IF(A117="","",YEAR(A117))</f>
        <v/>
      </c>
      <c r="J117" s="16">
        <f>IF(A117="","",MONTH(A117))</f>
        <v/>
      </c>
    </row>
    <row r="118">
      <c r="A118" s="11" t="n"/>
      <c r="B118" s="12" t="n"/>
      <c r="C118" s="12" t="n"/>
      <c r="D118" s="13" t="n"/>
      <c r="E118" s="12" t="n"/>
      <c r="F118" s="14">
        <f>IF(D118="","",IF(C118="Физлицо",0.04,0.06))</f>
        <v/>
      </c>
      <c r="G118" s="15">
        <f>IF(D118="","",MIN(MAX(Старт!$B$6-SUM(G$1:G117),0),D118*IF(C118="Физлицо",0.01,0.02)))</f>
        <v/>
      </c>
      <c r="H118" s="15">
        <f>IF(D118="","",D118*F118-G118)</f>
        <v/>
      </c>
      <c r="I118" s="16">
        <f>IF(A118="","",YEAR(A118))</f>
        <v/>
      </c>
      <c r="J118" s="16">
        <f>IF(A118="","",MONTH(A118))</f>
        <v/>
      </c>
    </row>
    <row r="119">
      <c r="A119" s="11" t="n"/>
      <c r="B119" s="12" t="n"/>
      <c r="C119" s="12" t="n"/>
      <c r="D119" s="13" t="n"/>
      <c r="E119" s="12" t="n"/>
      <c r="F119" s="14">
        <f>IF(D119="","",IF(C119="Физлицо",0.04,0.06))</f>
        <v/>
      </c>
      <c r="G119" s="15">
        <f>IF(D119="","",MIN(MAX(Старт!$B$6-SUM(G$1:G118),0),D119*IF(C119="Физлицо",0.01,0.02)))</f>
        <v/>
      </c>
      <c r="H119" s="15">
        <f>IF(D119="","",D119*F119-G119)</f>
        <v/>
      </c>
      <c r="I119" s="16">
        <f>IF(A119="","",YEAR(A119))</f>
        <v/>
      </c>
      <c r="J119" s="16">
        <f>IF(A119="","",MONTH(A119))</f>
        <v/>
      </c>
    </row>
    <row r="120">
      <c r="A120" s="11" t="n"/>
      <c r="B120" s="12" t="n"/>
      <c r="C120" s="12" t="n"/>
      <c r="D120" s="13" t="n"/>
      <c r="E120" s="12" t="n"/>
      <c r="F120" s="14">
        <f>IF(D120="","",IF(C120="Физлицо",0.04,0.06))</f>
        <v/>
      </c>
      <c r="G120" s="15">
        <f>IF(D120="","",MIN(MAX(Старт!$B$6-SUM(G$1:G119),0),D120*IF(C120="Физлицо",0.01,0.02)))</f>
        <v/>
      </c>
      <c r="H120" s="15">
        <f>IF(D120="","",D120*F120-G120)</f>
        <v/>
      </c>
      <c r="I120" s="16">
        <f>IF(A120="","",YEAR(A120))</f>
        <v/>
      </c>
      <c r="J120" s="16">
        <f>IF(A120="","",MONTH(A120))</f>
        <v/>
      </c>
    </row>
    <row r="121">
      <c r="A121" s="11" t="n"/>
      <c r="B121" s="12" t="n"/>
      <c r="C121" s="12" t="n"/>
      <c r="D121" s="13" t="n"/>
      <c r="E121" s="12" t="n"/>
      <c r="F121" s="14">
        <f>IF(D121="","",IF(C121="Физлицо",0.04,0.06))</f>
        <v/>
      </c>
      <c r="G121" s="15">
        <f>IF(D121="","",MIN(MAX(Старт!$B$6-SUM(G$1:G120),0),D121*IF(C121="Физлицо",0.01,0.02)))</f>
        <v/>
      </c>
      <c r="H121" s="15">
        <f>IF(D121="","",D121*F121-G121)</f>
        <v/>
      </c>
      <c r="I121" s="16">
        <f>IF(A121="","",YEAR(A121))</f>
        <v/>
      </c>
      <c r="J121" s="16">
        <f>IF(A121="","",MONTH(A121))</f>
        <v/>
      </c>
    </row>
    <row r="122">
      <c r="A122" s="11" t="n"/>
      <c r="B122" s="12" t="n"/>
      <c r="C122" s="12" t="n"/>
      <c r="D122" s="13" t="n"/>
      <c r="E122" s="12" t="n"/>
      <c r="F122" s="14">
        <f>IF(D122="","",IF(C122="Физлицо",0.04,0.06))</f>
        <v/>
      </c>
      <c r="G122" s="15">
        <f>IF(D122="","",MIN(MAX(Старт!$B$6-SUM(G$1:G121),0),D122*IF(C122="Физлицо",0.01,0.02)))</f>
        <v/>
      </c>
      <c r="H122" s="15">
        <f>IF(D122="","",D122*F122-G122)</f>
        <v/>
      </c>
      <c r="I122" s="16">
        <f>IF(A122="","",YEAR(A122))</f>
        <v/>
      </c>
      <c r="J122" s="16">
        <f>IF(A122="","",MONTH(A122))</f>
        <v/>
      </c>
    </row>
    <row r="123">
      <c r="A123" s="11" t="n"/>
      <c r="B123" s="12" t="n"/>
      <c r="C123" s="12" t="n"/>
      <c r="D123" s="13" t="n"/>
      <c r="E123" s="12" t="n"/>
      <c r="F123" s="14">
        <f>IF(D123="","",IF(C123="Физлицо",0.04,0.06))</f>
        <v/>
      </c>
      <c r="G123" s="15">
        <f>IF(D123="","",MIN(MAX(Старт!$B$6-SUM(G$1:G122),0),D123*IF(C123="Физлицо",0.01,0.02)))</f>
        <v/>
      </c>
      <c r="H123" s="15">
        <f>IF(D123="","",D123*F123-G123)</f>
        <v/>
      </c>
      <c r="I123" s="16">
        <f>IF(A123="","",YEAR(A123))</f>
        <v/>
      </c>
      <c r="J123" s="16">
        <f>IF(A123="","",MONTH(A123))</f>
        <v/>
      </c>
    </row>
    <row r="124">
      <c r="A124" s="11" t="n"/>
      <c r="B124" s="12" t="n"/>
      <c r="C124" s="12" t="n"/>
      <c r="D124" s="13" t="n"/>
      <c r="E124" s="12" t="n"/>
      <c r="F124" s="14">
        <f>IF(D124="","",IF(C124="Физлицо",0.04,0.06))</f>
        <v/>
      </c>
      <c r="G124" s="15">
        <f>IF(D124="","",MIN(MAX(Старт!$B$6-SUM(G$1:G123),0),D124*IF(C124="Физлицо",0.01,0.02)))</f>
        <v/>
      </c>
      <c r="H124" s="15">
        <f>IF(D124="","",D124*F124-G124)</f>
        <v/>
      </c>
      <c r="I124" s="16">
        <f>IF(A124="","",YEAR(A124))</f>
        <v/>
      </c>
      <c r="J124" s="16">
        <f>IF(A124="","",MONTH(A124))</f>
        <v/>
      </c>
    </row>
    <row r="125">
      <c r="A125" s="11" t="n"/>
      <c r="B125" s="12" t="n"/>
      <c r="C125" s="12" t="n"/>
      <c r="D125" s="13" t="n"/>
      <c r="E125" s="12" t="n"/>
      <c r="F125" s="14">
        <f>IF(D125="","",IF(C125="Физлицо",0.04,0.06))</f>
        <v/>
      </c>
      <c r="G125" s="15">
        <f>IF(D125="","",MIN(MAX(Старт!$B$6-SUM(G$1:G124),0),D125*IF(C125="Физлицо",0.01,0.02)))</f>
        <v/>
      </c>
      <c r="H125" s="15">
        <f>IF(D125="","",D125*F125-G125)</f>
        <v/>
      </c>
      <c r="I125" s="16">
        <f>IF(A125="","",YEAR(A125))</f>
        <v/>
      </c>
      <c r="J125" s="16">
        <f>IF(A125="","",MONTH(A125))</f>
        <v/>
      </c>
    </row>
    <row r="126">
      <c r="A126" s="11" t="n"/>
      <c r="B126" s="12" t="n"/>
      <c r="C126" s="12" t="n"/>
      <c r="D126" s="13" t="n"/>
      <c r="E126" s="12" t="n"/>
      <c r="F126" s="14">
        <f>IF(D126="","",IF(C126="Физлицо",0.04,0.06))</f>
        <v/>
      </c>
      <c r="G126" s="15">
        <f>IF(D126="","",MIN(MAX(Старт!$B$6-SUM(G$1:G125),0),D126*IF(C126="Физлицо",0.01,0.02)))</f>
        <v/>
      </c>
      <c r="H126" s="15">
        <f>IF(D126="","",D126*F126-G126)</f>
        <v/>
      </c>
      <c r="I126" s="16">
        <f>IF(A126="","",YEAR(A126))</f>
        <v/>
      </c>
      <c r="J126" s="16">
        <f>IF(A126="","",MONTH(A126))</f>
        <v/>
      </c>
    </row>
    <row r="127">
      <c r="A127" s="11" t="n"/>
      <c r="B127" s="12" t="n"/>
      <c r="C127" s="12" t="n"/>
      <c r="D127" s="13" t="n"/>
      <c r="E127" s="12" t="n"/>
      <c r="F127" s="14">
        <f>IF(D127="","",IF(C127="Физлицо",0.04,0.06))</f>
        <v/>
      </c>
      <c r="G127" s="15">
        <f>IF(D127="","",MIN(MAX(Старт!$B$6-SUM(G$1:G126),0),D127*IF(C127="Физлицо",0.01,0.02)))</f>
        <v/>
      </c>
      <c r="H127" s="15">
        <f>IF(D127="","",D127*F127-G127)</f>
        <v/>
      </c>
      <c r="I127" s="16">
        <f>IF(A127="","",YEAR(A127))</f>
        <v/>
      </c>
      <c r="J127" s="16">
        <f>IF(A127="","",MONTH(A127))</f>
        <v/>
      </c>
    </row>
    <row r="128">
      <c r="A128" s="11" t="n"/>
      <c r="B128" s="12" t="n"/>
      <c r="C128" s="12" t="n"/>
      <c r="D128" s="13" t="n"/>
      <c r="E128" s="12" t="n"/>
      <c r="F128" s="14">
        <f>IF(D128="","",IF(C128="Физлицо",0.04,0.06))</f>
        <v/>
      </c>
      <c r="G128" s="15">
        <f>IF(D128="","",MIN(MAX(Старт!$B$6-SUM(G$1:G127),0),D128*IF(C128="Физлицо",0.01,0.02)))</f>
        <v/>
      </c>
      <c r="H128" s="15">
        <f>IF(D128="","",D128*F128-G128)</f>
        <v/>
      </c>
      <c r="I128" s="16">
        <f>IF(A128="","",YEAR(A128))</f>
        <v/>
      </c>
      <c r="J128" s="16">
        <f>IF(A128="","",MONTH(A128))</f>
        <v/>
      </c>
    </row>
    <row r="129">
      <c r="A129" s="11" t="n"/>
      <c r="B129" s="12" t="n"/>
      <c r="C129" s="12" t="n"/>
      <c r="D129" s="13" t="n"/>
      <c r="E129" s="12" t="n"/>
      <c r="F129" s="14">
        <f>IF(D129="","",IF(C129="Физлицо",0.04,0.06))</f>
        <v/>
      </c>
      <c r="G129" s="15">
        <f>IF(D129="","",MIN(MAX(Старт!$B$6-SUM(G$1:G128),0),D129*IF(C129="Физлицо",0.01,0.02)))</f>
        <v/>
      </c>
      <c r="H129" s="15">
        <f>IF(D129="","",D129*F129-G129)</f>
        <v/>
      </c>
      <c r="I129" s="16">
        <f>IF(A129="","",YEAR(A129))</f>
        <v/>
      </c>
      <c r="J129" s="16">
        <f>IF(A129="","",MONTH(A129))</f>
        <v/>
      </c>
    </row>
    <row r="130">
      <c r="A130" s="11" t="n"/>
      <c r="B130" s="12" t="n"/>
      <c r="C130" s="12" t="n"/>
      <c r="D130" s="13" t="n"/>
      <c r="E130" s="12" t="n"/>
      <c r="F130" s="14">
        <f>IF(D130="","",IF(C130="Физлицо",0.04,0.06))</f>
        <v/>
      </c>
      <c r="G130" s="15">
        <f>IF(D130="","",MIN(MAX(Старт!$B$6-SUM(G$1:G129),0),D130*IF(C130="Физлицо",0.01,0.02)))</f>
        <v/>
      </c>
      <c r="H130" s="15">
        <f>IF(D130="","",D130*F130-G130)</f>
        <v/>
      </c>
      <c r="I130" s="16">
        <f>IF(A130="","",YEAR(A130))</f>
        <v/>
      </c>
      <c r="J130" s="16">
        <f>IF(A130="","",MONTH(A130))</f>
        <v/>
      </c>
    </row>
    <row r="131">
      <c r="A131" s="11" t="n"/>
      <c r="B131" s="12" t="n"/>
      <c r="C131" s="12" t="n"/>
      <c r="D131" s="13" t="n"/>
      <c r="E131" s="12" t="n"/>
      <c r="F131" s="14">
        <f>IF(D131="","",IF(C131="Физлицо",0.04,0.06))</f>
        <v/>
      </c>
      <c r="G131" s="15">
        <f>IF(D131="","",MIN(MAX(Старт!$B$6-SUM(G$1:G130),0),D131*IF(C131="Физлицо",0.01,0.02)))</f>
        <v/>
      </c>
      <c r="H131" s="15">
        <f>IF(D131="","",D131*F131-G131)</f>
        <v/>
      </c>
      <c r="I131" s="16">
        <f>IF(A131="","",YEAR(A131))</f>
        <v/>
      </c>
      <c r="J131" s="16">
        <f>IF(A131="","",MONTH(A131))</f>
        <v/>
      </c>
    </row>
    <row r="132">
      <c r="A132" s="11" t="n"/>
      <c r="B132" s="12" t="n"/>
      <c r="C132" s="12" t="n"/>
      <c r="D132" s="13" t="n"/>
      <c r="E132" s="12" t="n"/>
      <c r="F132" s="14">
        <f>IF(D132="","",IF(C132="Физлицо",0.04,0.06))</f>
        <v/>
      </c>
      <c r="G132" s="15">
        <f>IF(D132="","",MIN(MAX(Старт!$B$6-SUM(G$1:G131),0),D132*IF(C132="Физлицо",0.01,0.02)))</f>
        <v/>
      </c>
      <c r="H132" s="15">
        <f>IF(D132="","",D132*F132-G132)</f>
        <v/>
      </c>
      <c r="I132" s="16">
        <f>IF(A132="","",YEAR(A132))</f>
        <v/>
      </c>
      <c r="J132" s="16">
        <f>IF(A132="","",MONTH(A132))</f>
        <v/>
      </c>
    </row>
    <row r="133">
      <c r="A133" s="11" t="n"/>
      <c r="B133" s="12" t="n"/>
      <c r="C133" s="12" t="n"/>
      <c r="D133" s="13" t="n"/>
      <c r="E133" s="12" t="n"/>
      <c r="F133" s="14">
        <f>IF(D133="","",IF(C133="Физлицо",0.04,0.06))</f>
        <v/>
      </c>
      <c r="G133" s="15">
        <f>IF(D133="","",MIN(MAX(Старт!$B$6-SUM(G$1:G132),0),D133*IF(C133="Физлицо",0.01,0.02)))</f>
        <v/>
      </c>
      <c r="H133" s="15">
        <f>IF(D133="","",D133*F133-G133)</f>
        <v/>
      </c>
      <c r="I133" s="16">
        <f>IF(A133="","",YEAR(A133))</f>
        <v/>
      </c>
      <c r="J133" s="16">
        <f>IF(A133="","",MONTH(A133))</f>
        <v/>
      </c>
    </row>
    <row r="134">
      <c r="A134" s="11" t="n"/>
      <c r="B134" s="12" t="n"/>
      <c r="C134" s="12" t="n"/>
      <c r="D134" s="13" t="n"/>
      <c r="E134" s="12" t="n"/>
      <c r="F134" s="14">
        <f>IF(D134="","",IF(C134="Физлицо",0.04,0.06))</f>
        <v/>
      </c>
      <c r="G134" s="15">
        <f>IF(D134="","",MIN(MAX(Старт!$B$6-SUM(G$1:G133),0),D134*IF(C134="Физлицо",0.01,0.02)))</f>
        <v/>
      </c>
      <c r="H134" s="15">
        <f>IF(D134="","",D134*F134-G134)</f>
        <v/>
      </c>
      <c r="I134" s="16">
        <f>IF(A134="","",YEAR(A134))</f>
        <v/>
      </c>
      <c r="J134" s="16">
        <f>IF(A134="","",MONTH(A134))</f>
        <v/>
      </c>
    </row>
    <row r="135">
      <c r="A135" s="11" t="n"/>
      <c r="B135" s="12" t="n"/>
      <c r="C135" s="12" t="n"/>
      <c r="D135" s="13" t="n"/>
      <c r="E135" s="12" t="n"/>
      <c r="F135" s="14">
        <f>IF(D135="","",IF(C135="Физлицо",0.04,0.06))</f>
        <v/>
      </c>
      <c r="G135" s="15">
        <f>IF(D135="","",MIN(MAX(Старт!$B$6-SUM(G$1:G134),0),D135*IF(C135="Физлицо",0.01,0.02)))</f>
        <v/>
      </c>
      <c r="H135" s="15">
        <f>IF(D135="","",D135*F135-G135)</f>
        <v/>
      </c>
      <c r="I135" s="16">
        <f>IF(A135="","",YEAR(A135))</f>
        <v/>
      </c>
      <c r="J135" s="16">
        <f>IF(A135="","",MONTH(A135))</f>
        <v/>
      </c>
    </row>
    <row r="136">
      <c r="A136" s="11" t="n"/>
      <c r="B136" s="12" t="n"/>
      <c r="C136" s="12" t="n"/>
      <c r="D136" s="13" t="n"/>
      <c r="E136" s="12" t="n"/>
      <c r="F136" s="14">
        <f>IF(D136="","",IF(C136="Физлицо",0.04,0.06))</f>
        <v/>
      </c>
      <c r="G136" s="15">
        <f>IF(D136="","",MIN(MAX(Старт!$B$6-SUM(G$1:G135),0),D136*IF(C136="Физлицо",0.01,0.02)))</f>
        <v/>
      </c>
      <c r="H136" s="15">
        <f>IF(D136="","",D136*F136-G136)</f>
        <v/>
      </c>
      <c r="I136" s="16">
        <f>IF(A136="","",YEAR(A136))</f>
        <v/>
      </c>
      <c r="J136" s="16">
        <f>IF(A136="","",MONTH(A136))</f>
        <v/>
      </c>
    </row>
    <row r="137">
      <c r="A137" s="11" t="n"/>
      <c r="B137" s="12" t="n"/>
      <c r="C137" s="12" t="n"/>
      <c r="D137" s="13" t="n"/>
      <c r="E137" s="12" t="n"/>
      <c r="F137" s="14">
        <f>IF(D137="","",IF(C137="Физлицо",0.04,0.06))</f>
        <v/>
      </c>
      <c r="G137" s="15">
        <f>IF(D137="","",MIN(MAX(Старт!$B$6-SUM(G$1:G136),0),D137*IF(C137="Физлицо",0.01,0.02)))</f>
        <v/>
      </c>
      <c r="H137" s="15">
        <f>IF(D137="","",D137*F137-G137)</f>
        <v/>
      </c>
      <c r="I137" s="16">
        <f>IF(A137="","",YEAR(A137))</f>
        <v/>
      </c>
      <c r="J137" s="16">
        <f>IF(A137="","",MONTH(A137))</f>
        <v/>
      </c>
    </row>
    <row r="138">
      <c r="A138" s="11" t="n"/>
      <c r="B138" s="12" t="n"/>
      <c r="C138" s="12" t="n"/>
      <c r="D138" s="13" t="n"/>
      <c r="E138" s="12" t="n"/>
      <c r="F138" s="14">
        <f>IF(D138="","",IF(C138="Физлицо",0.04,0.06))</f>
        <v/>
      </c>
      <c r="G138" s="15">
        <f>IF(D138="","",MIN(MAX(Старт!$B$6-SUM(G$1:G137),0),D138*IF(C138="Физлицо",0.01,0.02)))</f>
        <v/>
      </c>
      <c r="H138" s="15">
        <f>IF(D138="","",D138*F138-G138)</f>
        <v/>
      </c>
      <c r="I138" s="16">
        <f>IF(A138="","",YEAR(A138))</f>
        <v/>
      </c>
      <c r="J138" s="16">
        <f>IF(A138="","",MONTH(A138))</f>
        <v/>
      </c>
    </row>
    <row r="139">
      <c r="A139" s="11" t="n"/>
      <c r="B139" s="12" t="n"/>
      <c r="C139" s="12" t="n"/>
      <c r="D139" s="13" t="n"/>
      <c r="E139" s="12" t="n"/>
      <c r="F139" s="14">
        <f>IF(D139="","",IF(C139="Физлицо",0.04,0.06))</f>
        <v/>
      </c>
      <c r="G139" s="15">
        <f>IF(D139="","",MIN(MAX(Старт!$B$6-SUM(G$1:G138),0),D139*IF(C139="Физлицо",0.01,0.02)))</f>
        <v/>
      </c>
      <c r="H139" s="15">
        <f>IF(D139="","",D139*F139-G139)</f>
        <v/>
      </c>
      <c r="I139" s="16">
        <f>IF(A139="","",YEAR(A139))</f>
        <v/>
      </c>
      <c r="J139" s="16">
        <f>IF(A139="","",MONTH(A139))</f>
        <v/>
      </c>
    </row>
    <row r="140">
      <c r="A140" s="11" t="n"/>
      <c r="B140" s="12" t="n"/>
      <c r="C140" s="12" t="n"/>
      <c r="D140" s="13" t="n"/>
      <c r="E140" s="12" t="n"/>
      <c r="F140" s="14">
        <f>IF(D140="","",IF(C140="Физлицо",0.04,0.06))</f>
        <v/>
      </c>
      <c r="G140" s="15">
        <f>IF(D140="","",MIN(MAX(Старт!$B$6-SUM(G$1:G139),0),D140*IF(C140="Физлицо",0.01,0.02)))</f>
        <v/>
      </c>
      <c r="H140" s="15">
        <f>IF(D140="","",D140*F140-G140)</f>
        <v/>
      </c>
      <c r="I140" s="16">
        <f>IF(A140="","",YEAR(A140))</f>
        <v/>
      </c>
      <c r="J140" s="16">
        <f>IF(A140="","",MONTH(A140))</f>
        <v/>
      </c>
    </row>
    <row r="141">
      <c r="A141" s="11" t="n"/>
      <c r="B141" s="12" t="n"/>
      <c r="C141" s="12" t="n"/>
      <c r="D141" s="13" t="n"/>
      <c r="E141" s="12" t="n"/>
      <c r="F141" s="14">
        <f>IF(D141="","",IF(C141="Физлицо",0.04,0.06))</f>
        <v/>
      </c>
      <c r="G141" s="15">
        <f>IF(D141="","",MIN(MAX(Старт!$B$6-SUM(G$1:G140),0),D141*IF(C141="Физлицо",0.01,0.02)))</f>
        <v/>
      </c>
      <c r="H141" s="15">
        <f>IF(D141="","",D141*F141-G141)</f>
        <v/>
      </c>
      <c r="I141" s="16">
        <f>IF(A141="","",YEAR(A141))</f>
        <v/>
      </c>
      <c r="J141" s="16">
        <f>IF(A141="","",MONTH(A141))</f>
        <v/>
      </c>
    </row>
    <row r="142">
      <c r="A142" s="11" t="n"/>
      <c r="B142" s="12" t="n"/>
      <c r="C142" s="12" t="n"/>
      <c r="D142" s="13" t="n"/>
      <c r="E142" s="12" t="n"/>
      <c r="F142" s="14">
        <f>IF(D142="","",IF(C142="Физлицо",0.04,0.06))</f>
        <v/>
      </c>
      <c r="G142" s="15">
        <f>IF(D142="","",MIN(MAX(Старт!$B$6-SUM(G$1:G141),0),D142*IF(C142="Физлицо",0.01,0.02)))</f>
        <v/>
      </c>
      <c r="H142" s="15">
        <f>IF(D142="","",D142*F142-G142)</f>
        <v/>
      </c>
      <c r="I142" s="16">
        <f>IF(A142="","",YEAR(A142))</f>
        <v/>
      </c>
      <c r="J142" s="16">
        <f>IF(A142="","",MONTH(A142))</f>
        <v/>
      </c>
    </row>
    <row r="143">
      <c r="A143" s="11" t="n"/>
      <c r="B143" s="12" t="n"/>
      <c r="C143" s="12" t="n"/>
      <c r="D143" s="13" t="n"/>
      <c r="E143" s="12" t="n"/>
      <c r="F143" s="14">
        <f>IF(D143="","",IF(C143="Физлицо",0.04,0.06))</f>
        <v/>
      </c>
      <c r="G143" s="15">
        <f>IF(D143="","",MIN(MAX(Старт!$B$6-SUM(G$1:G142),0),D143*IF(C143="Физлицо",0.01,0.02)))</f>
        <v/>
      </c>
      <c r="H143" s="15">
        <f>IF(D143="","",D143*F143-G143)</f>
        <v/>
      </c>
      <c r="I143" s="16">
        <f>IF(A143="","",YEAR(A143))</f>
        <v/>
      </c>
      <c r="J143" s="16">
        <f>IF(A143="","",MONTH(A143))</f>
        <v/>
      </c>
    </row>
    <row r="144">
      <c r="A144" s="11" t="n"/>
      <c r="B144" s="12" t="n"/>
      <c r="C144" s="12" t="n"/>
      <c r="D144" s="13" t="n"/>
      <c r="E144" s="12" t="n"/>
      <c r="F144" s="14">
        <f>IF(D144="","",IF(C144="Физлицо",0.04,0.06))</f>
        <v/>
      </c>
      <c r="G144" s="15">
        <f>IF(D144="","",MIN(MAX(Старт!$B$6-SUM(G$1:G143),0),D144*IF(C144="Физлицо",0.01,0.02)))</f>
        <v/>
      </c>
      <c r="H144" s="15">
        <f>IF(D144="","",D144*F144-G144)</f>
        <v/>
      </c>
      <c r="I144" s="16">
        <f>IF(A144="","",YEAR(A144))</f>
        <v/>
      </c>
      <c r="J144" s="16">
        <f>IF(A144="","",MONTH(A144))</f>
        <v/>
      </c>
    </row>
    <row r="145">
      <c r="A145" s="11" t="n"/>
      <c r="B145" s="12" t="n"/>
      <c r="C145" s="12" t="n"/>
      <c r="D145" s="13" t="n"/>
      <c r="E145" s="12" t="n"/>
      <c r="F145" s="14">
        <f>IF(D145="","",IF(C145="Физлицо",0.04,0.06))</f>
        <v/>
      </c>
      <c r="G145" s="15">
        <f>IF(D145="","",MIN(MAX(Старт!$B$6-SUM(G$1:G144),0),D145*IF(C145="Физлицо",0.01,0.02)))</f>
        <v/>
      </c>
      <c r="H145" s="15">
        <f>IF(D145="","",D145*F145-G145)</f>
        <v/>
      </c>
      <c r="I145" s="16">
        <f>IF(A145="","",YEAR(A145))</f>
        <v/>
      </c>
      <c r="J145" s="16">
        <f>IF(A145="","",MONTH(A145))</f>
        <v/>
      </c>
    </row>
    <row r="146">
      <c r="A146" s="11" t="n"/>
      <c r="B146" s="12" t="n"/>
      <c r="C146" s="12" t="n"/>
      <c r="D146" s="13" t="n"/>
      <c r="E146" s="12" t="n"/>
      <c r="F146" s="14">
        <f>IF(D146="","",IF(C146="Физлицо",0.04,0.06))</f>
        <v/>
      </c>
      <c r="G146" s="15">
        <f>IF(D146="","",MIN(MAX(Старт!$B$6-SUM(G$1:G145),0),D146*IF(C146="Физлицо",0.01,0.02)))</f>
        <v/>
      </c>
      <c r="H146" s="15">
        <f>IF(D146="","",D146*F146-G146)</f>
        <v/>
      </c>
      <c r="I146" s="16">
        <f>IF(A146="","",YEAR(A146))</f>
        <v/>
      </c>
      <c r="J146" s="16">
        <f>IF(A146="","",MONTH(A146))</f>
        <v/>
      </c>
    </row>
    <row r="147">
      <c r="A147" s="11" t="n"/>
      <c r="B147" s="12" t="n"/>
      <c r="C147" s="12" t="n"/>
      <c r="D147" s="13" t="n"/>
      <c r="E147" s="12" t="n"/>
      <c r="F147" s="14">
        <f>IF(D147="","",IF(C147="Физлицо",0.04,0.06))</f>
        <v/>
      </c>
      <c r="G147" s="15">
        <f>IF(D147="","",MIN(MAX(Старт!$B$6-SUM(G$1:G146),0),D147*IF(C147="Физлицо",0.01,0.02)))</f>
        <v/>
      </c>
      <c r="H147" s="15">
        <f>IF(D147="","",D147*F147-G147)</f>
        <v/>
      </c>
      <c r="I147" s="16">
        <f>IF(A147="","",YEAR(A147))</f>
        <v/>
      </c>
      <c r="J147" s="16">
        <f>IF(A147="","",MONTH(A147))</f>
        <v/>
      </c>
    </row>
    <row r="148">
      <c r="A148" s="11" t="n"/>
      <c r="B148" s="12" t="n"/>
      <c r="C148" s="12" t="n"/>
      <c r="D148" s="13" t="n"/>
      <c r="E148" s="12" t="n"/>
      <c r="F148" s="14">
        <f>IF(D148="","",IF(C148="Физлицо",0.04,0.06))</f>
        <v/>
      </c>
      <c r="G148" s="15">
        <f>IF(D148="","",MIN(MAX(Старт!$B$6-SUM(G$1:G147),0),D148*IF(C148="Физлицо",0.01,0.02)))</f>
        <v/>
      </c>
      <c r="H148" s="15">
        <f>IF(D148="","",D148*F148-G148)</f>
        <v/>
      </c>
      <c r="I148" s="16">
        <f>IF(A148="","",YEAR(A148))</f>
        <v/>
      </c>
      <c r="J148" s="16">
        <f>IF(A148="","",MONTH(A148))</f>
        <v/>
      </c>
    </row>
    <row r="149">
      <c r="A149" s="11" t="n"/>
      <c r="B149" s="12" t="n"/>
      <c r="C149" s="12" t="n"/>
      <c r="D149" s="13" t="n"/>
      <c r="E149" s="12" t="n"/>
      <c r="F149" s="14">
        <f>IF(D149="","",IF(C149="Физлицо",0.04,0.06))</f>
        <v/>
      </c>
      <c r="G149" s="15">
        <f>IF(D149="","",MIN(MAX(Старт!$B$6-SUM(G$1:G148),0),D149*IF(C149="Физлицо",0.01,0.02)))</f>
        <v/>
      </c>
      <c r="H149" s="15">
        <f>IF(D149="","",D149*F149-G149)</f>
        <v/>
      </c>
      <c r="I149" s="16">
        <f>IF(A149="","",YEAR(A149))</f>
        <v/>
      </c>
      <c r="J149" s="16">
        <f>IF(A149="","",MONTH(A149))</f>
        <v/>
      </c>
    </row>
    <row r="150">
      <c r="A150" s="11" t="n"/>
      <c r="B150" s="12" t="n"/>
      <c r="C150" s="12" t="n"/>
      <c r="D150" s="13" t="n"/>
      <c r="E150" s="12" t="n"/>
      <c r="F150" s="14">
        <f>IF(D150="","",IF(C150="Физлицо",0.04,0.06))</f>
        <v/>
      </c>
      <c r="G150" s="15">
        <f>IF(D150="","",MIN(MAX(Старт!$B$6-SUM(G$1:G149),0),D150*IF(C150="Физлицо",0.01,0.02)))</f>
        <v/>
      </c>
      <c r="H150" s="15">
        <f>IF(D150="","",D150*F150-G150)</f>
        <v/>
      </c>
      <c r="I150" s="16">
        <f>IF(A150="","",YEAR(A150))</f>
        <v/>
      </c>
      <c r="J150" s="16">
        <f>IF(A150="","",MONTH(A150))</f>
        <v/>
      </c>
    </row>
    <row r="151">
      <c r="A151" s="11" t="n"/>
      <c r="B151" s="12" t="n"/>
      <c r="C151" s="12" t="n"/>
      <c r="D151" s="13" t="n"/>
      <c r="E151" s="12" t="n"/>
      <c r="F151" s="14">
        <f>IF(D151="","",IF(C151="Физлицо",0.04,0.06))</f>
        <v/>
      </c>
      <c r="G151" s="15">
        <f>IF(D151="","",MIN(MAX(Старт!$B$6-SUM(G$1:G150),0),D151*IF(C151="Физлицо",0.01,0.02)))</f>
        <v/>
      </c>
      <c r="H151" s="15">
        <f>IF(D151="","",D151*F151-G151)</f>
        <v/>
      </c>
      <c r="I151" s="16">
        <f>IF(A151="","",YEAR(A151))</f>
        <v/>
      </c>
      <c r="J151" s="16">
        <f>IF(A151="","",MONTH(A151))</f>
        <v/>
      </c>
    </row>
    <row r="152">
      <c r="A152" s="11" t="n"/>
      <c r="B152" s="12" t="n"/>
      <c r="C152" s="12" t="n"/>
      <c r="D152" s="13" t="n"/>
      <c r="E152" s="12" t="n"/>
      <c r="F152" s="14">
        <f>IF(D152="","",IF(C152="Физлицо",0.04,0.06))</f>
        <v/>
      </c>
      <c r="G152" s="15">
        <f>IF(D152="","",MIN(MAX(Старт!$B$6-SUM(G$1:G151),0),D152*IF(C152="Физлицо",0.01,0.02)))</f>
        <v/>
      </c>
      <c r="H152" s="15">
        <f>IF(D152="","",D152*F152-G152)</f>
        <v/>
      </c>
      <c r="I152" s="16">
        <f>IF(A152="","",YEAR(A152))</f>
        <v/>
      </c>
      <c r="J152" s="16">
        <f>IF(A152="","",MONTH(A152))</f>
        <v/>
      </c>
    </row>
    <row r="153">
      <c r="A153" s="11" t="n"/>
      <c r="B153" s="12" t="n"/>
      <c r="C153" s="12" t="n"/>
      <c r="D153" s="13" t="n"/>
      <c r="E153" s="12" t="n"/>
      <c r="F153" s="14">
        <f>IF(D153="","",IF(C153="Физлицо",0.04,0.06))</f>
        <v/>
      </c>
      <c r="G153" s="15">
        <f>IF(D153="","",MIN(MAX(Старт!$B$6-SUM(G$1:G152),0),D153*IF(C153="Физлицо",0.01,0.02)))</f>
        <v/>
      </c>
      <c r="H153" s="15">
        <f>IF(D153="","",D153*F153-G153)</f>
        <v/>
      </c>
      <c r="I153" s="16">
        <f>IF(A153="","",YEAR(A153))</f>
        <v/>
      </c>
      <c r="J153" s="16">
        <f>IF(A153="","",MONTH(A153))</f>
        <v/>
      </c>
    </row>
    <row r="154">
      <c r="A154" s="11" t="n"/>
      <c r="B154" s="12" t="n"/>
      <c r="C154" s="12" t="n"/>
      <c r="D154" s="13" t="n"/>
      <c r="E154" s="12" t="n"/>
      <c r="F154" s="14">
        <f>IF(D154="","",IF(C154="Физлицо",0.04,0.06))</f>
        <v/>
      </c>
      <c r="G154" s="15">
        <f>IF(D154="","",MIN(MAX(Старт!$B$6-SUM(G$1:G153),0),D154*IF(C154="Физлицо",0.01,0.02)))</f>
        <v/>
      </c>
      <c r="H154" s="15">
        <f>IF(D154="","",D154*F154-G154)</f>
        <v/>
      </c>
      <c r="I154" s="16">
        <f>IF(A154="","",YEAR(A154))</f>
        <v/>
      </c>
      <c r="J154" s="16">
        <f>IF(A154="","",MONTH(A154))</f>
        <v/>
      </c>
    </row>
    <row r="155">
      <c r="A155" s="11" t="n"/>
      <c r="B155" s="12" t="n"/>
      <c r="C155" s="12" t="n"/>
      <c r="D155" s="13" t="n"/>
      <c r="E155" s="12" t="n"/>
      <c r="F155" s="14">
        <f>IF(D155="","",IF(C155="Физлицо",0.04,0.06))</f>
        <v/>
      </c>
      <c r="G155" s="15">
        <f>IF(D155="","",MIN(MAX(Старт!$B$6-SUM(G$1:G154),0),D155*IF(C155="Физлицо",0.01,0.02)))</f>
        <v/>
      </c>
      <c r="H155" s="15">
        <f>IF(D155="","",D155*F155-G155)</f>
        <v/>
      </c>
      <c r="I155" s="16">
        <f>IF(A155="","",YEAR(A155))</f>
        <v/>
      </c>
      <c r="J155" s="16">
        <f>IF(A155="","",MONTH(A155))</f>
        <v/>
      </c>
    </row>
    <row r="156">
      <c r="A156" s="11" t="n"/>
      <c r="B156" s="12" t="n"/>
      <c r="C156" s="12" t="n"/>
      <c r="D156" s="13" t="n"/>
      <c r="E156" s="12" t="n"/>
      <c r="F156" s="14">
        <f>IF(D156="","",IF(C156="Физлицо",0.04,0.06))</f>
        <v/>
      </c>
      <c r="G156" s="15">
        <f>IF(D156="","",MIN(MAX(Старт!$B$6-SUM(G$1:G155),0),D156*IF(C156="Физлицо",0.01,0.02)))</f>
        <v/>
      </c>
      <c r="H156" s="15">
        <f>IF(D156="","",D156*F156-G156)</f>
        <v/>
      </c>
      <c r="I156" s="16">
        <f>IF(A156="","",YEAR(A156))</f>
        <v/>
      </c>
      <c r="J156" s="16">
        <f>IF(A156="","",MONTH(A156))</f>
        <v/>
      </c>
    </row>
    <row r="157">
      <c r="A157" s="11" t="n"/>
      <c r="B157" s="12" t="n"/>
      <c r="C157" s="12" t="n"/>
      <c r="D157" s="13" t="n"/>
      <c r="E157" s="12" t="n"/>
      <c r="F157" s="14">
        <f>IF(D157="","",IF(C157="Физлицо",0.04,0.06))</f>
        <v/>
      </c>
      <c r="G157" s="15">
        <f>IF(D157="","",MIN(MAX(Старт!$B$6-SUM(G$1:G156),0),D157*IF(C157="Физлицо",0.01,0.02)))</f>
        <v/>
      </c>
      <c r="H157" s="15">
        <f>IF(D157="","",D157*F157-G157)</f>
        <v/>
      </c>
      <c r="I157" s="16">
        <f>IF(A157="","",YEAR(A157))</f>
        <v/>
      </c>
      <c r="J157" s="16">
        <f>IF(A157="","",MONTH(A157))</f>
        <v/>
      </c>
    </row>
    <row r="158">
      <c r="A158" s="11" t="n"/>
      <c r="B158" s="12" t="n"/>
      <c r="C158" s="12" t="n"/>
      <c r="D158" s="13" t="n"/>
      <c r="E158" s="12" t="n"/>
      <c r="F158" s="14">
        <f>IF(D158="","",IF(C158="Физлицо",0.04,0.06))</f>
        <v/>
      </c>
      <c r="G158" s="15">
        <f>IF(D158="","",MIN(MAX(Старт!$B$6-SUM(G$1:G157),0),D158*IF(C158="Физлицо",0.01,0.02)))</f>
        <v/>
      </c>
      <c r="H158" s="15">
        <f>IF(D158="","",D158*F158-G158)</f>
        <v/>
      </c>
      <c r="I158" s="16">
        <f>IF(A158="","",YEAR(A158))</f>
        <v/>
      </c>
      <c r="J158" s="16">
        <f>IF(A158="","",MONTH(A158))</f>
        <v/>
      </c>
    </row>
    <row r="159">
      <c r="A159" s="11" t="n"/>
      <c r="B159" s="12" t="n"/>
      <c r="C159" s="12" t="n"/>
      <c r="D159" s="13" t="n"/>
      <c r="E159" s="12" t="n"/>
      <c r="F159" s="14">
        <f>IF(D159="","",IF(C159="Физлицо",0.04,0.06))</f>
        <v/>
      </c>
      <c r="G159" s="15">
        <f>IF(D159="","",MIN(MAX(Старт!$B$6-SUM(G$1:G158),0),D159*IF(C159="Физлицо",0.01,0.02)))</f>
        <v/>
      </c>
      <c r="H159" s="15">
        <f>IF(D159="","",D159*F159-G159)</f>
        <v/>
      </c>
      <c r="I159" s="16">
        <f>IF(A159="","",YEAR(A159))</f>
        <v/>
      </c>
      <c r="J159" s="16">
        <f>IF(A159="","",MONTH(A159))</f>
        <v/>
      </c>
    </row>
    <row r="160">
      <c r="A160" s="11" t="n"/>
      <c r="B160" s="12" t="n"/>
      <c r="C160" s="12" t="n"/>
      <c r="D160" s="13" t="n"/>
      <c r="E160" s="12" t="n"/>
      <c r="F160" s="14">
        <f>IF(D160="","",IF(C160="Физлицо",0.04,0.06))</f>
        <v/>
      </c>
      <c r="G160" s="15">
        <f>IF(D160="","",MIN(MAX(Старт!$B$6-SUM(G$1:G159),0),D160*IF(C160="Физлицо",0.01,0.02)))</f>
        <v/>
      </c>
      <c r="H160" s="15">
        <f>IF(D160="","",D160*F160-G160)</f>
        <v/>
      </c>
      <c r="I160" s="16">
        <f>IF(A160="","",YEAR(A160))</f>
        <v/>
      </c>
      <c r="J160" s="16">
        <f>IF(A160="","",MONTH(A160))</f>
        <v/>
      </c>
    </row>
    <row r="161">
      <c r="A161" s="11" t="n"/>
      <c r="B161" s="12" t="n"/>
      <c r="C161" s="12" t="n"/>
      <c r="D161" s="13" t="n"/>
      <c r="E161" s="12" t="n"/>
      <c r="F161" s="14">
        <f>IF(D161="","",IF(C161="Физлицо",0.04,0.06))</f>
        <v/>
      </c>
      <c r="G161" s="15">
        <f>IF(D161="","",MIN(MAX(Старт!$B$6-SUM(G$1:G160),0),D161*IF(C161="Физлицо",0.01,0.02)))</f>
        <v/>
      </c>
      <c r="H161" s="15">
        <f>IF(D161="","",D161*F161-G161)</f>
        <v/>
      </c>
      <c r="I161" s="16">
        <f>IF(A161="","",YEAR(A161))</f>
        <v/>
      </c>
      <c r="J161" s="16">
        <f>IF(A161="","",MONTH(A161))</f>
        <v/>
      </c>
    </row>
    <row r="162">
      <c r="A162" s="11" t="n"/>
      <c r="B162" s="12" t="n"/>
      <c r="C162" s="12" t="n"/>
      <c r="D162" s="13" t="n"/>
      <c r="E162" s="12" t="n"/>
      <c r="F162" s="14">
        <f>IF(D162="","",IF(C162="Физлицо",0.04,0.06))</f>
        <v/>
      </c>
      <c r="G162" s="15">
        <f>IF(D162="","",MIN(MAX(Старт!$B$6-SUM(G$1:G161),0),D162*IF(C162="Физлицо",0.01,0.02)))</f>
        <v/>
      </c>
      <c r="H162" s="15">
        <f>IF(D162="","",D162*F162-G162)</f>
        <v/>
      </c>
      <c r="I162" s="16">
        <f>IF(A162="","",YEAR(A162))</f>
        <v/>
      </c>
      <c r="J162" s="16">
        <f>IF(A162="","",MONTH(A162))</f>
        <v/>
      </c>
    </row>
    <row r="163">
      <c r="A163" s="11" t="n"/>
      <c r="B163" s="12" t="n"/>
      <c r="C163" s="12" t="n"/>
      <c r="D163" s="13" t="n"/>
      <c r="E163" s="12" t="n"/>
      <c r="F163" s="14">
        <f>IF(D163="","",IF(C163="Физлицо",0.04,0.06))</f>
        <v/>
      </c>
      <c r="G163" s="15">
        <f>IF(D163="","",MIN(MAX(Старт!$B$6-SUM(G$1:G162),0),D163*IF(C163="Физлицо",0.01,0.02)))</f>
        <v/>
      </c>
      <c r="H163" s="15">
        <f>IF(D163="","",D163*F163-G163)</f>
        <v/>
      </c>
      <c r="I163" s="16">
        <f>IF(A163="","",YEAR(A163))</f>
        <v/>
      </c>
      <c r="J163" s="16">
        <f>IF(A163="","",MONTH(A163))</f>
        <v/>
      </c>
    </row>
    <row r="164">
      <c r="A164" s="11" t="n"/>
      <c r="B164" s="12" t="n"/>
      <c r="C164" s="12" t="n"/>
      <c r="D164" s="13" t="n"/>
      <c r="E164" s="12" t="n"/>
      <c r="F164" s="14">
        <f>IF(D164="","",IF(C164="Физлицо",0.04,0.06))</f>
        <v/>
      </c>
      <c r="G164" s="15">
        <f>IF(D164="","",MIN(MAX(Старт!$B$6-SUM(G$1:G163),0),D164*IF(C164="Физлицо",0.01,0.02)))</f>
        <v/>
      </c>
      <c r="H164" s="15">
        <f>IF(D164="","",D164*F164-G164)</f>
        <v/>
      </c>
      <c r="I164" s="16">
        <f>IF(A164="","",YEAR(A164))</f>
        <v/>
      </c>
      <c r="J164" s="16">
        <f>IF(A164="","",MONTH(A164))</f>
        <v/>
      </c>
    </row>
    <row r="165">
      <c r="A165" s="11" t="n"/>
      <c r="B165" s="12" t="n"/>
      <c r="C165" s="12" t="n"/>
      <c r="D165" s="13" t="n"/>
      <c r="E165" s="12" t="n"/>
      <c r="F165" s="14">
        <f>IF(D165="","",IF(C165="Физлицо",0.04,0.06))</f>
        <v/>
      </c>
      <c r="G165" s="15">
        <f>IF(D165="","",MIN(MAX(Старт!$B$6-SUM(G$1:G164),0),D165*IF(C165="Физлицо",0.01,0.02)))</f>
        <v/>
      </c>
      <c r="H165" s="15">
        <f>IF(D165="","",D165*F165-G165)</f>
        <v/>
      </c>
      <c r="I165" s="16">
        <f>IF(A165="","",YEAR(A165))</f>
        <v/>
      </c>
      <c r="J165" s="16">
        <f>IF(A165="","",MONTH(A165))</f>
        <v/>
      </c>
    </row>
    <row r="166">
      <c r="A166" s="11" t="n"/>
      <c r="B166" s="12" t="n"/>
      <c r="C166" s="12" t="n"/>
      <c r="D166" s="13" t="n"/>
      <c r="E166" s="12" t="n"/>
      <c r="F166" s="14">
        <f>IF(D166="","",IF(C166="Физлицо",0.04,0.06))</f>
        <v/>
      </c>
      <c r="G166" s="15">
        <f>IF(D166="","",MIN(MAX(Старт!$B$6-SUM(G$1:G165),0),D166*IF(C166="Физлицо",0.01,0.02)))</f>
        <v/>
      </c>
      <c r="H166" s="15">
        <f>IF(D166="","",D166*F166-G166)</f>
        <v/>
      </c>
      <c r="I166" s="16">
        <f>IF(A166="","",YEAR(A166))</f>
        <v/>
      </c>
      <c r="J166" s="16">
        <f>IF(A166="","",MONTH(A166))</f>
        <v/>
      </c>
    </row>
    <row r="167">
      <c r="A167" s="11" t="n"/>
      <c r="B167" s="12" t="n"/>
      <c r="C167" s="12" t="n"/>
      <c r="D167" s="13" t="n"/>
      <c r="E167" s="12" t="n"/>
      <c r="F167" s="14">
        <f>IF(D167="","",IF(C167="Физлицо",0.04,0.06))</f>
        <v/>
      </c>
      <c r="G167" s="15">
        <f>IF(D167="","",MIN(MAX(Старт!$B$6-SUM(G$1:G166),0),D167*IF(C167="Физлицо",0.01,0.02)))</f>
        <v/>
      </c>
      <c r="H167" s="15">
        <f>IF(D167="","",D167*F167-G167)</f>
        <v/>
      </c>
      <c r="I167" s="16">
        <f>IF(A167="","",YEAR(A167))</f>
        <v/>
      </c>
      <c r="J167" s="16">
        <f>IF(A167="","",MONTH(A167))</f>
        <v/>
      </c>
    </row>
    <row r="168">
      <c r="A168" s="11" t="n"/>
      <c r="B168" s="12" t="n"/>
      <c r="C168" s="12" t="n"/>
      <c r="D168" s="13" t="n"/>
      <c r="E168" s="12" t="n"/>
      <c r="F168" s="14">
        <f>IF(D168="","",IF(C168="Физлицо",0.04,0.06))</f>
        <v/>
      </c>
      <c r="G168" s="15">
        <f>IF(D168="","",MIN(MAX(Старт!$B$6-SUM(G$1:G167),0),D168*IF(C168="Физлицо",0.01,0.02)))</f>
        <v/>
      </c>
      <c r="H168" s="15">
        <f>IF(D168="","",D168*F168-G168)</f>
        <v/>
      </c>
      <c r="I168" s="16">
        <f>IF(A168="","",YEAR(A168))</f>
        <v/>
      </c>
      <c r="J168" s="16">
        <f>IF(A168="","",MONTH(A168))</f>
        <v/>
      </c>
    </row>
    <row r="169">
      <c r="A169" s="11" t="n"/>
      <c r="B169" s="12" t="n"/>
      <c r="C169" s="12" t="n"/>
      <c r="D169" s="13" t="n"/>
      <c r="E169" s="12" t="n"/>
      <c r="F169" s="14">
        <f>IF(D169="","",IF(C169="Физлицо",0.04,0.06))</f>
        <v/>
      </c>
      <c r="G169" s="15">
        <f>IF(D169="","",MIN(MAX(Старт!$B$6-SUM(G$1:G168),0),D169*IF(C169="Физлицо",0.01,0.02)))</f>
        <v/>
      </c>
      <c r="H169" s="15">
        <f>IF(D169="","",D169*F169-G169)</f>
        <v/>
      </c>
      <c r="I169" s="16">
        <f>IF(A169="","",YEAR(A169))</f>
        <v/>
      </c>
      <c r="J169" s="16">
        <f>IF(A169="","",MONTH(A169))</f>
        <v/>
      </c>
    </row>
    <row r="170">
      <c r="A170" s="11" t="n"/>
      <c r="B170" s="12" t="n"/>
      <c r="C170" s="12" t="n"/>
      <c r="D170" s="13" t="n"/>
      <c r="E170" s="12" t="n"/>
      <c r="F170" s="14">
        <f>IF(D170="","",IF(C170="Физлицо",0.04,0.06))</f>
        <v/>
      </c>
      <c r="G170" s="15">
        <f>IF(D170="","",MIN(MAX(Старт!$B$6-SUM(G$1:G169),0),D170*IF(C170="Физлицо",0.01,0.02)))</f>
        <v/>
      </c>
      <c r="H170" s="15">
        <f>IF(D170="","",D170*F170-G170)</f>
        <v/>
      </c>
      <c r="I170" s="16">
        <f>IF(A170="","",YEAR(A170))</f>
        <v/>
      </c>
      <c r="J170" s="16">
        <f>IF(A170="","",MONTH(A170))</f>
        <v/>
      </c>
    </row>
    <row r="171">
      <c r="A171" s="11" t="n"/>
      <c r="B171" s="12" t="n"/>
      <c r="C171" s="12" t="n"/>
      <c r="D171" s="13" t="n"/>
      <c r="E171" s="12" t="n"/>
      <c r="F171" s="14">
        <f>IF(D171="","",IF(C171="Физлицо",0.04,0.06))</f>
        <v/>
      </c>
      <c r="G171" s="15">
        <f>IF(D171="","",MIN(MAX(Старт!$B$6-SUM(G$1:G170),0),D171*IF(C171="Физлицо",0.01,0.02)))</f>
        <v/>
      </c>
      <c r="H171" s="15">
        <f>IF(D171="","",D171*F171-G171)</f>
        <v/>
      </c>
      <c r="I171" s="16">
        <f>IF(A171="","",YEAR(A171))</f>
        <v/>
      </c>
      <c r="J171" s="16">
        <f>IF(A171="","",MONTH(A171))</f>
        <v/>
      </c>
    </row>
    <row r="172">
      <c r="A172" s="11" t="n"/>
      <c r="B172" s="12" t="n"/>
      <c r="C172" s="12" t="n"/>
      <c r="D172" s="13" t="n"/>
      <c r="E172" s="12" t="n"/>
      <c r="F172" s="14">
        <f>IF(D172="","",IF(C172="Физлицо",0.04,0.06))</f>
        <v/>
      </c>
      <c r="G172" s="15">
        <f>IF(D172="","",MIN(MAX(Старт!$B$6-SUM(G$1:G171),0),D172*IF(C172="Физлицо",0.01,0.02)))</f>
        <v/>
      </c>
      <c r="H172" s="15">
        <f>IF(D172="","",D172*F172-G172)</f>
        <v/>
      </c>
      <c r="I172" s="16">
        <f>IF(A172="","",YEAR(A172))</f>
        <v/>
      </c>
      <c r="J172" s="16">
        <f>IF(A172="","",MONTH(A172))</f>
        <v/>
      </c>
    </row>
    <row r="173">
      <c r="A173" s="11" t="n"/>
      <c r="B173" s="12" t="n"/>
      <c r="C173" s="12" t="n"/>
      <c r="D173" s="13" t="n"/>
      <c r="E173" s="12" t="n"/>
      <c r="F173" s="14">
        <f>IF(D173="","",IF(C173="Физлицо",0.04,0.06))</f>
        <v/>
      </c>
      <c r="G173" s="15">
        <f>IF(D173="","",MIN(MAX(Старт!$B$6-SUM(G$1:G172),0),D173*IF(C173="Физлицо",0.01,0.02)))</f>
        <v/>
      </c>
      <c r="H173" s="15">
        <f>IF(D173="","",D173*F173-G173)</f>
        <v/>
      </c>
      <c r="I173" s="16">
        <f>IF(A173="","",YEAR(A173))</f>
        <v/>
      </c>
      <c r="J173" s="16">
        <f>IF(A173="","",MONTH(A173))</f>
        <v/>
      </c>
    </row>
    <row r="174">
      <c r="A174" s="11" t="n"/>
      <c r="B174" s="12" t="n"/>
      <c r="C174" s="12" t="n"/>
      <c r="D174" s="13" t="n"/>
      <c r="E174" s="12" t="n"/>
      <c r="F174" s="14">
        <f>IF(D174="","",IF(C174="Физлицо",0.04,0.06))</f>
        <v/>
      </c>
      <c r="G174" s="15">
        <f>IF(D174="","",MIN(MAX(Старт!$B$6-SUM(G$1:G173),0),D174*IF(C174="Физлицо",0.01,0.02)))</f>
        <v/>
      </c>
      <c r="H174" s="15">
        <f>IF(D174="","",D174*F174-G174)</f>
        <v/>
      </c>
      <c r="I174" s="16">
        <f>IF(A174="","",YEAR(A174))</f>
        <v/>
      </c>
      <c r="J174" s="16">
        <f>IF(A174="","",MONTH(A174))</f>
        <v/>
      </c>
    </row>
    <row r="175">
      <c r="A175" s="11" t="n"/>
      <c r="B175" s="12" t="n"/>
      <c r="C175" s="12" t="n"/>
      <c r="D175" s="13" t="n"/>
      <c r="E175" s="12" t="n"/>
      <c r="F175" s="14">
        <f>IF(D175="","",IF(C175="Физлицо",0.04,0.06))</f>
        <v/>
      </c>
      <c r="G175" s="15">
        <f>IF(D175="","",MIN(MAX(Старт!$B$6-SUM(G$1:G174),0),D175*IF(C175="Физлицо",0.01,0.02)))</f>
        <v/>
      </c>
      <c r="H175" s="15">
        <f>IF(D175="","",D175*F175-G175)</f>
        <v/>
      </c>
      <c r="I175" s="16">
        <f>IF(A175="","",YEAR(A175))</f>
        <v/>
      </c>
      <c r="J175" s="16">
        <f>IF(A175="","",MONTH(A175))</f>
        <v/>
      </c>
    </row>
    <row r="176">
      <c r="A176" s="11" t="n"/>
      <c r="B176" s="12" t="n"/>
      <c r="C176" s="12" t="n"/>
      <c r="D176" s="13" t="n"/>
      <c r="E176" s="12" t="n"/>
      <c r="F176" s="14">
        <f>IF(D176="","",IF(C176="Физлицо",0.04,0.06))</f>
        <v/>
      </c>
      <c r="G176" s="15">
        <f>IF(D176="","",MIN(MAX(Старт!$B$6-SUM(G$1:G175),0),D176*IF(C176="Физлицо",0.01,0.02)))</f>
        <v/>
      </c>
      <c r="H176" s="15">
        <f>IF(D176="","",D176*F176-G176)</f>
        <v/>
      </c>
      <c r="I176" s="16">
        <f>IF(A176="","",YEAR(A176))</f>
        <v/>
      </c>
      <c r="J176" s="16">
        <f>IF(A176="","",MONTH(A176))</f>
        <v/>
      </c>
    </row>
    <row r="177">
      <c r="A177" s="11" t="n"/>
      <c r="B177" s="12" t="n"/>
      <c r="C177" s="12" t="n"/>
      <c r="D177" s="13" t="n"/>
      <c r="E177" s="12" t="n"/>
      <c r="F177" s="14">
        <f>IF(D177="","",IF(C177="Физлицо",0.04,0.06))</f>
        <v/>
      </c>
      <c r="G177" s="15">
        <f>IF(D177="","",MIN(MAX(Старт!$B$6-SUM(G$1:G176),0),D177*IF(C177="Физлицо",0.01,0.02)))</f>
        <v/>
      </c>
      <c r="H177" s="15">
        <f>IF(D177="","",D177*F177-G177)</f>
        <v/>
      </c>
      <c r="I177" s="16">
        <f>IF(A177="","",YEAR(A177))</f>
        <v/>
      </c>
      <c r="J177" s="16">
        <f>IF(A177="","",MONTH(A177))</f>
        <v/>
      </c>
    </row>
    <row r="178">
      <c r="A178" s="11" t="n"/>
      <c r="B178" s="12" t="n"/>
      <c r="C178" s="12" t="n"/>
      <c r="D178" s="13" t="n"/>
      <c r="E178" s="12" t="n"/>
      <c r="F178" s="14">
        <f>IF(D178="","",IF(C178="Физлицо",0.04,0.06))</f>
        <v/>
      </c>
      <c r="G178" s="15">
        <f>IF(D178="","",MIN(MAX(Старт!$B$6-SUM(G$1:G177),0),D178*IF(C178="Физлицо",0.01,0.02)))</f>
        <v/>
      </c>
      <c r="H178" s="15">
        <f>IF(D178="","",D178*F178-G178)</f>
        <v/>
      </c>
      <c r="I178" s="16">
        <f>IF(A178="","",YEAR(A178))</f>
        <v/>
      </c>
      <c r="J178" s="16">
        <f>IF(A178="","",MONTH(A178))</f>
        <v/>
      </c>
    </row>
    <row r="179">
      <c r="A179" s="11" t="n"/>
      <c r="B179" s="12" t="n"/>
      <c r="C179" s="12" t="n"/>
      <c r="D179" s="13" t="n"/>
      <c r="E179" s="12" t="n"/>
      <c r="F179" s="14">
        <f>IF(D179="","",IF(C179="Физлицо",0.04,0.06))</f>
        <v/>
      </c>
      <c r="G179" s="15">
        <f>IF(D179="","",MIN(MAX(Старт!$B$6-SUM(G$1:G178),0),D179*IF(C179="Физлицо",0.01,0.02)))</f>
        <v/>
      </c>
      <c r="H179" s="15">
        <f>IF(D179="","",D179*F179-G179)</f>
        <v/>
      </c>
      <c r="I179" s="16">
        <f>IF(A179="","",YEAR(A179))</f>
        <v/>
      </c>
      <c r="J179" s="16">
        <f>IF(A179="","",MONTH(A179))</f>
        <v/>
      </c>
    </row>
    <row r="180">
      <c r="A180" s="11" t="n"/>
      <c r="B180" s="12" t="n"/>
      <c r="C180" s="12" t="n"/>
      <c r="D180" s="13" t="n"/>
      <c r="E180" s="12" t="n"/>
      <c r="F180" s="14">
        <f>IF(D180="","",IF(C180="Физлицо",0.04,0.06))</f>
        <v/>
      </c>
      <c r="G180" s="15">
        <f>IF(D180="","",MIN(MAX(Старт!$B$6-SUM(G$1:G179),0),D180*IF(C180="Физлицо",0.01,0.02)))</f>
        <v/>
      </c>
      <c r="H180" s="15">
        <f>IF(D180="","",D180*F180-G180)</f>
        <v/>
      </c>
      <c r="I180" s="16">
        <f>IF(A180="","",YEAR(A180))</f>
        <v/>
      </c>
      <c r="J180" s="16">
        <f>IF(A180="","",MONTH(A180))</f>
        <v/>
      </c>
    </row>
    <row r="181">
      <c r="A181" s="11" t="n"/>
      <c r="B181" s="12" t="n"/>
      <c r="C181" s="12" t="n"/>
      <c r="D181" s="13" t="n"/>
      <c r="E181" s="12" t="n"/>
      <c r="F181" s="14">
        <f>IF(D181="","",IF(C181="Физлицо",0.04,0.06))</f>
        <v/>
      </c>
      <c r="G181" s="15">
        <f>IF(D181="","",MIN(MAX(Старт!$B$6-SUM(G$1:G180),0),D181*IF(C181="Физлицо",0.01,0.02)))</f>
        <v/>
      </c>
      <c r="H181" s="15">
        <f>IF(D181="","",D181*F181-G181)</f>
        <v/>
      </c>
      <c r="I181" s="16">
        <f>IF(A181="","",YEAR(A181))</f>
        <v/>
      </c>
      <c r="J181" s="16">
        <f>IF(A181="","",MONTH(A181))</f>
        <v/>
      </c>
    </row>
    <row r="182">
      <c r="A182" s="11" t="n"/>
      <c r="B182" s="12" t="n"/>
      <c r="C182" s="12" t="n"/>
      <c r="D182" s="13" t="n"/>
      <c r="E182" s="12" t="n"/>
      <c r="F182" s="14">
        <f>IF(D182="","",IF(C182="Физлицо",0.04,0.06))</f>
        <v/>
      </c>
      <c r="G182" s="15">
        <f>IF(D182="","",MIN(MAX(Старт!$B$6-SUM(G$1:G181),0),D182*IF(C182="Физлицо",0.01,0.02)))</f>
        <v/>
      </c>
      <c r="H182" s="15">
        <f>IF(D182="","",D182*F182-G182)</f>
        <v/>
      </c>
      <c r="I182" s="16">
        <f>IF(A182="","",YEAR(A182))</f>
        <v/>
      </c>
      <c r="J182" s="16">
        <f>IF(A182="","",MONTH(A182))</f>
        <v/>
      </c>
    </row>
    <row r="183">
      <c r="A183" s="11" t="n"/>
      <c r="B183" s="12" t="n"/>
      <c r="C183" s="12" t="n"/>
      <c r="D183" s="13" t="n"/>
      <c r="E183" s="12" t="n"/>
      <c r="F183" s="14">
        <f>IF(D183="","",IF(C183="Физлицо",0.04,0.06))</f>
        <v/>
      </c>
      <c r="G183" s="15">
        <f>IF(D183="","",MIN(MAX(Старт!$B$6-SUM(G$1:G182),0),D183*IF(C183="Физлицо",0.01,0.02)))</f>
        <v/>
      </c>
      <c r="H183" s="15">
        <f>IF(D183="","",D183*F183-G183)</f>
        <v/>
      </c>
      <c r="I183" s="16">
        <f>IF(A183="","",YEAR(A183))</f>
        <v/>
      </c>
      <c r="J183" s="16">
        <f>IF(A183="","",MONTH(A183))</f>
        <v/>
      </c>
    </row>
    <row r="184">
      <c r="A184" s="11" t="n"/>
      <c r="B184" s="12" t="n"/>
      <c r="C184" s="12" t="n"/>
      <c r="D184" s="13" t="n"/>
      <c r="E184" s="12" t="n"/>
      <c r="F184" s="14">
        <f>IF(D184="","",IF(C184="Физлицо",0.04,0.06))</f>
        <v/>
      </c>
      <c r="G184" s="15">
        <f>IF(D184="","",MIN(MAX(Старт!$B$6-SUM(G$1:G183),0),D184*IF(C184="Физлицо",0.01,0.02)))</f>
        <v/>
      </c>
      <c r="H184" s="15">
        <f>IF(D184="","",D184*F184-G184)</f>
        <v/>
      </c>
      <c r="I184" s="16">
        <f>IF(A184="","",YEAR(A184))</f>
        <v/>
      </c>
      <c r="J184" s="16">
        <f>IF(A184="","",MONTH(A184))</f>
        <v/>
      </c>
    </row>
    <row r="185">
      <c r="A185" s="11" t="n"/>
      <c r="B185" s="12" t="n"/>
      <c r="C185" s="12" t="n"/>
      <c r="D185" s="13" t="n"/>
      <c r="E185" s="12" t="n"/>
      <c r="F185" s="14">
        <f>IF(D185="","",IF(C185="Физлицо",0.04,0.06))</f>
        <v/>
      </c>
      <c r="G185" s="15">
        <f>IF(D185="","",MIN(MAX(Старт!$B$6-SUM(G$1:G184),0),D185*IF(C185="Физлицо",0.01,0.02)))</f>
        <v/>
      </c>
      <c r="H185" s="15">
        <f>IF(D185="","",D185*F185-G185)</f>
        <v/>
      </c>
      <c r="I185" s="16">
        <f>IF(A185="","",YEAR(A185))</f>
        <v/>
      </c>
      <c r="J185" s="16">
        <f>IF(A185="","",MONTH(A185))</f>
        <v/>
      </c>
    </row>
    <row r="186">
      <c r="A186" s="11" t="n"/>
      <c r="B186" s="12" t="n"/>
      <c r="C186" s="12" t="n"/>
      <c r="D186" s="13" t="n"/>
      <c r="E186" s="12" t="n"/>
      <c r="F186" s="14">
        <f>IF(D186="","",IF(C186="Физлицо",0.04,0.06))</f>
        <v/>
      </c>
      <c r="G186" s="15">
        <f>IF(D186="","",MIN(MAX(Старт!$B$6-SUM(G$1:G185),0),D186*IF(C186="Физлицо",0.01,0.02)))</f>
        <v/>
      </c>
      <c r="H186" s="15">
        <f>IF(D186="","",D186*F186-G186)</f>
        <v/>
      </c>
      <c r="I186" s="16">
        <f>IF(A186="","",YEAR(A186))</f>
        <v/>
      </c>
      <c r="J186" s="16">
        <f>IF(A186="","",MONTH(A186))</f>
        <v/>
      </c>
    </row>
    <row r="187">
      <c r="A187" s="11" t="n"/>
      <c r="B187" s="12" t="n"/>
      <c r="C187" s="12" t="n"/>
      <c r="D187" s="13" t="n"/>
      <c r="E187" s="12" t="n"/>
      <c r="F187" s="14">
        <f>IF(D187="","",IF(C187="Физлицо",0.04,0.06))</f>
        <v/>
      </c>
      <c r="G187" s="15">
        <f>IF(D187="","",MIN(MAX(Старт!$B$6-SUM(G$1:G186),0),D187*IF(C187="Физлицо",0.01,0.02)))</f>
        <v/>
      </c>
      <c r="H187" s="15">
        <f>IF(D187="","",D187*F187-G187)</f>
        <v/>
      </c>
      <c r="I187" s="16">
        <f>IF(A187="","",YEAR(A187))</f>
        <v/>
      </c>
      <c r="J187" s="16">
        <f>IF(A187="","",MONTH(A187))</f>
        <v/>
      </c>
    </row>
    <row r="188">
      <c r="A188" s="11" t="n"/>
      <c r="B188" s="12" t="n"/>
      <c r="C188" s="12" t="n"/>
      <c r="D188" s="13" t="n"/>
      <c r="E188" s="12" t="n"/>
      <c r="F188" s="14">
        <f>IF(D188="","",IF(C188="Физлицо",0.04,0.06))</f>
        <v/>
      </c>
      <c r="G188" s="15">
        <f>IF(D188="","",MIN(MAX(Старт!$B$6-SUM(G$1:G187),0),D188*IF(C188="Физлицо",0.01,0.02)))</f>
        <v/>
      </c>
      <c r="H188" s="15">
        <f>IF(D188="","",D188*F188-G188)</f>
        <v/>
      </c>
      <c r="I188" s="16">
        <f>IF(A188="","",YEAR(A188))</f>
        <v/>
      </c>
      <c r="J188" s="16">
        <f>IF(A188="","",MONTH(A188))</f>
        <v/>
      </c>
    </row>
    <row r="189">
      <c r="A189" s="11" t="n"/>
      <c r="B189" s="12" t="n"/>
      <c r="C189" s="12" t="n"/>
      <c r="D189" s="13" t="n"/>
      <c r="E189" s="12" t="n"/>
      <c r="F189" s="14">
        <f>IF(D189="","",IF(C189="Физлицо",0.04,0.06))</f>
        <v/>
      </c>
      <c r="G189" s="15">
        <f>IF(D189="","",MIN(MAX(Старт!$B$6-SUM(G$1:G188),0),D189*IF(C189="Физлицо",0.01,0.02)))</f>
        <v/>
      </c>
      <c r="H189" s="15">
        <f>IF(D189="","",D189*F189-G189)</f>
        <v/>
      </c>
      <c r="I189" s="16">
        <f>IF(A189="","",YEAR(A189))</f>
        <v/>
      </c>
      <c r="J189" s="16">
        <f>IF(A189="","",MONTH(A189))</f>
        <v/>
      </c>
    </row>
    <row r="190">
      <c r="A190" s="11" t="n"/>
      <c r="B190" s="12" t="n"/>
      <c r="C190" s="12" t="n"/>
      <c r="D190" s="13" t="n"/>
      <c r="E190" s="12" t="n"/>
      <c r="F190" s="14">
        <f>IF(D190="","",IF(C190="Физлицо",0.04,0.06))</f>
        <v/>
      </c>
      <c r="G190" s="15">
        <f>IF(D190="","",MIN(MAX(Старт!$B$6-SUM(G$1:G189),0),D190*IF(C190="Физлицо",0.01,0.02)))</f>
        <v/>
      </c>
      <c r="H190" s="15">
        <f>IF(D190="","",D190*F190-G190)</f>
        <v/>
      </c>
      <c r="I190" s="16">
        <f>IF(A190="","",YEAR(A190))</f>
        <v/>
      </c>
      <c r="J190" s="16">
        <f>IF(A190="","",MONTH(A190))</f>
        <v/>
      </c>
    </row>
    <row r="191">
      <c r="A191" s="11" t="n"/>
      <c r="B191" s="12" t="n"/>
      <c r="C191" s="12" t="n"/>
      <c r="D191" s="13" t="n"/>
      <c r="E191" s="12" t="n"/>
      <c r="F191" s="14">
        <f>IF(D191="","",IF(C191="Физлицо",0.04,0.06))</f>
        <v/>
      </c>
      <c r="G191" s="15">
        <f>IF(D191="","",MIN(MAX(Старт!$B$6-SUM(G$1:G190),0),D191*IF(C191="Физлицо",0.01,0.02)))</f>
        <v/>
      </c>
      <c r="H191" s="15">
        <f>IF(D191="","",D191*F191-G191)</f>
        <v/>
      </c>
      <c r="I191" s="16">
        <f>IF(A191="","",YEAR(A191))</f>
        <v/>
      </c>
      <c r="J191" s="16">
        <f>IF(A191="","",MONTH(A191))</f>
        <v/>
      </c>
    </row>
    <row r="192">
      <c r="A192" s="11" t="n"/>
      <c r="B192" s="12" t="n"/>
      <c r="C192" s="12" t="n"/>
      <c r="D192" s="13" t="n"/>
      <c r="E192" s="12" t="n"/>
      <c r="F192" s="14">
        <f>IF(D192="","",IF(C192="Физлицо",0.04,0.06))</f>
        <v/>
      </c>
      <c r="G192" s="15">
        <f>IF(D192="","",MIN(MAX(Старт!$B$6-SUM(G$1:G191),0),D192*IF(C192="Физлицо",0.01,0.02)))</f>
        <v/>
      </c>
      <c r="H192" s="15">
        <f>IF(D192="","",D192*F192-G192)</f>
        <v/>
      </c>
      <c r="I192" s="16">
        <f>IF(A192="","",YEAR(A192))</f>
        <v/>
      </c>
      <c r="J192" s="16">
        <f>IF(A192="","",MONTH(A192))</f>
        <v/>
      </c>
    </row>
    <row r="193">
      <c r="A193" s="11" t="n"/>
      <c r="B193" s="12" t="n"/>
      <c r="C193" s="12" t="n"/>
      <c r="D193" s="13" t="n"/>
      <c r="E193" s="12" t="n"/>
      <c r="F193" s="14">
        <f>IF(D193="","",IF(C193="Физлицо",0.04,0.06))</f>
        <v/>
      </c>
      <c r="G193" s="15">
        <f>IF(D193="","",MIN(MAX(Старт!$B$6-SUM(G$1:G192),0),D193*IF(C193="Физлицо",0.01,0.02)))</f>
        <v/>
      </c>
      <c r="H193" s="15">
        <f>IF(D193="","",D193*F193-G193)</f>
        <v/>
      </c>
      <c r="I193" s="16">
        <f>IF(A193="","",YEAR(A193))</f>
        <v/>
      </c>
      <c r="J193" s="16">
        <f>IF(A193="","",MONTH(A193))</f>
        <v/>
      </c>
    </row>
    <row r="194">
      <c r="A194" s="11" t="n"/>
      <c r="B194" s="12" t="n"/>
      <c r="C194" s="12" t="n"/>
      <c r="D194" s="13" t="n"/>
      <c r="E194" s="12" t="n"/>
      <c r="F194" s="14">
        <f>IF(D194="","",IF(C194="Физлицо",0.04,0.06))</f>
        <v/>
      </c>
      <c r="G194" s="15">
        <f>IF(D194="","",MIN(MAX(Старт!$B$6-SUM(G$1:G193),0),D194*IF(C194="Физлицо",0.01,0.02)))</f>
        <v/>
      </c>
      <c r="H194" s="15">
        <f>IF(D194="","",D194*F194-G194)</f>
        <v/>
      </c>
      <c r="I194" s="16">
        <f>IF(A194="","",YEAR(A194))</f>
        <v/>
      </c>
      <c r="J194" s="16">
        <f>IF(A194="","",MONTH(A194))</f>
        <v/>
      </c>
    </row>
    <row r="195">
      <c r="A195" s="11" t="n"/>
      <c r="B195" s="12" t="n"/>
      <c r="C195" s="12" t="n"/>
      <c r="D195" s="13" t="n"/>
      <c r="E195" s="12" t="n"/>
      <c r="F195" s="14">
        <f>IF(D195="","",IF(C195="Физлицо",0.04,0.06))</f>
        <v/>
      </c>
      <c r="G195" s="15">
        <f>IF(D195="","",MIN(MAX(Старт!$B$6-SUM(G$1:G194),0),D195*IF(C195="Физлицо",0.01,0.02)))</f>
        <v/>
      </c>
      <c r="H195" s="15">
        <f>IF(D195="","",D195*F195-G195)</f>
        <v/>
      </c>
      <c r="I195" s="16">
        <f>IF(A195="","",YEAR(A195))</f>
        <v/>
      </c>
      <c r="J195" s="16">
        <f>IF(A195="","",MONTH(A195))</f>
        <v/>
      </c>
    </row>
    <row r="196">
      <c r="A196" s="11" t="n"/>
      <c r="B196" s="12" t="n"/>
      <c r="C196" s="12" t="n"/>
      <c r="D196" s="13" t="n"/>
      <c r="E196" s="12" t="n"/>
      <c r="F196" s="14">
        <f>IF(D196="","",IF(C196="Физлицо",0.04,0.06))</f>
        <v/>
      </c>
      <c r="G196" s="15">
        <f>IF(D196="","",MIN(MAX(Старт!$B$6-SUM(G$1:G195),0),D196*IF(C196="Физлицо",0.01,0.02)))</f>
        <v/>
      </c>
      <c r="H196" s="15">
        <f>IF(D196="","",D196*F196-G196)</f>
        <v/>
      </c>
      <c r="I196" s="16">
        <f>IF(A196="","",YEAR(A196))</f>
        <v/>
      </c>
      <c r="J196" s="16">
        <f>IF(A196="","",MONTH(A196))</f>
        <v/>
      </c>
    </row>
    <row r="197">
      <c r="A197" s="11" t="n"/>
      <c r="B197" s="12" t="n"/>
      <c r="C197" s="12" t="n"/>
      <c r="D197" s="13" t="n"/>
      <c r="E197" s="12" t="n"/>
      <c r="F197" s="14">
        <f>IF(D197="","",IF(C197="Физлицо",0.04,0.06))</f>
        <v/>
      </c>
      <c r="G197" s="15">
        <f>IF(D197="","",MIN(MAX(Старт!$B$6-SUM(G$1:G196),0),D197*IF(C197="Физлицо",0.01,0.02)))</f>
        <v/>
      </c>
      <c r="H197" s="15">
        <f>IF(D197="","",D197*F197-G197)</f>
        <v/>
      </c>
      <c r="I197" s="16">
        <f>IF(A197="","",YEAR(A197))</f>
        <v/>
      </c>
      <c r="J197" s="16">
        <f>IF(A197="","",MONTH(A197))</f>
        <v/>
      </c>
    </row>
    <row r="198">
      <c r="A198" s="11" t="n"/>
      <c r="B198" s="12" t="n"/>
      <c r="C198" s="12" t="n"/>
      <c r="D198" s="13" t="n"/>
      <c r="E198" s="12" t="n"/>
      <c r="F198" s="14">
        <f>IF(D198="","",IF(C198="Физлицо",0.04,0.06))</f>
        <v/>
      </c>
      <c r="G198" s="15">
        <f>IF(D198="","",MIN(MAX(Старт!$B$6-SUM(G$1:G197),0),D198*IF(C198="Физлицо",0.01,0.02)))</f>
        <v/>
      </c>
      <c r="H198" s="15">
        <f>IF(D198="","",D198*F198-G198)</f>
        <v/>
      </c>
      <c r="I198" s="16">
        <f>IF(A198="","",YEAR(A198))</f>
        <v/>
      </c>
      <c r="J198" s="16">
        <f>IF(A198="","",MONTH(A198))</f>
        <v/>
      </c>
    </row>
    <row r="199">
      <c r="A199" s="11" t="n"/>
      <c r="B199" s="12" t="n"/>
      <c r="C199" s="12" t="n"/>
      <c r="D199" s="13" t="n"/>
      <c r="E199" s="12" t="n"/>
      <c r="F199" s="14">
        <f>IF(D199="","",IF(C199="Физлицо",0.04,0.06))</f>
        <v/>
      </c>
      <c r="G199" s="15">
        <f>IF(D199="","",MIN(MAX(Старт!$B$6-SUM(G$1:G198),0),D199*IF(C199="Физлицо",0.01,0.02)))</f>
        <v/>
      </c>
      <c r="H199" s="15">
        <f>IF(D199="","",D199*F199-G199)</f>
        <v/>
      </c>
      <c r="I199" s="16">
        <f>IF(A199="","",YEAR(A199))</f>
        <v/>
      </c>
      <c r="J199" s="16">
        <f>IF(A199="","",MONTH(A199))</f>
        <v/>
      </c>
    </row>
    <row r="200">
      <c r="A200" s="11" t="n"/>
      <c r="B200" s="12" t="n"/>
      <c r="C200" s="12" t="n"/>
      <c r="D200" s="13" t="n"/>
      <c r="E200" s="12" t="n"/>
      <c r="F200" s="14">
        <f>IF(D200="","",IF(C200="Физлицо",0.04,0.06))</f>
        <v/>
      </c>
      <c r="G200" s="15">
        <f>IF(D200="","",MIN(MAX(Старт!$B$6-SUM(G$1:G199),0),D200*IF(C200="Физлицо",0.01,0.02)))</f>
        <v/>
      </c>
      <c r="H200" s="15">
        <f>IF(D200="","",D200*F200-G200)</f>
        <v/>
      </c>
      <c r="I200" s="16">
        <f>IF(A200="","",YEAR(A200))</f>
        <v/>
      </c>
      <c r="J200" s="16">
        <f>IF(A200="","",MONTH(A200))</f>
        <v/>
      </c>
    </row>
    <row r="201">
      <c r="A201" s="11" t="n"/>
      <c r="B201" s="12" t="n"/>
      <c r="C201" s="12" t="n"/>
      <c r="D201" s="13" t="n"/>
      <c r="E201" s="12" t="n"/>
      <c r="F201" s="14">
        <f>IF(D201="","",IF(C201="Физлицо",0.04,0.06))</f>
        <v/>
      </c>
      <c r="G201" s="15">
        <f>IF(D201="","",MIN(MAX(Старт!$B$6-SUM(G$1:G200),0),D201*IF(C201="Физлицо",0.01,0.02)))</f>
        <v/>
      </c>
      <c r="H201" s="15">
        <f>IF(D201="","",D201*F201-G201)</f>
        <v/>
      </c>
      <c r="I201" s="16">
        <f>IF(A201="","",YEAR(A201))</f>
        <v/>
      </c>
      <c r="J201" s="16">
        <f>IF(A201="","",MONTH(A201))</f>
        <v/>
      </c>
    </row>
    <row r="202">
      <c r="A202" s="11" t="n"/>
      <c r="B202" s="12" t="n"/>
      <c r="C202" s="12" t="n"/>
      <c r="D202" s="13" t="n"/>
      <c r="E202" s="12" t="n"/>
      <c r="F202" s="14">
        <f>IF(D202="","",IF(C202="Физлицо",0.04,0.06))</f>
        <v/>
      </c>
      <c r="G202" s="15">
        <f>IF(D202="","",MIN(MAX(Старт!$B$6-SUM(G$1:G201),0),D202*IF(C202="Физлицо",0.01,0.02)))</f>
        <v/>
      </c>
      <c r="H202" s="15">
        <f>IF(D202="","",D202*F202-G202)</f>
        <v/>
      </c>
      <c r="I202" s="16">
        <f>IF(A202="","",YEAR(A202))</f>
        <v/>
      </c>
      <c r="J202" s="16">
        <f>IF(A202="","",MONTH(A202))</f>
        <v/>
      </c>
    </row>
    <row r="203">
      <c r="A203" s="11" t="n"/>
      <c r="B203" s="12" t="n"/>
      <c r="C203" s="12" t="n"/>
      <c r="D203" s="13" t="n"/>
      <c r="E203" s="12" t="n"/>
      <c r="F203" s="14">
        <f>IF(D203="","",IF(C203="Физлицо",0.04,0.06))</f>
        <v/>
      </c>
      <c r="G203" s="15">
        <f>IF(D203="","",MIN(MAX(Старт!$B$6-SUM(G$1:G202),0),D203*IF(C203="Физлицо",0.01,0.02)))</f>
        <v/>
      </c>
      <c r="H203" s="15">
        <f>IF(D203="","",D203*F203-G203)</f>
        <v/>
      </c>
      <c r="I203" s="16">
        <f>IF(A203="","",YEAR(A203))</f>
        <v/>
      </c>
      <c r="J203" s="16">
        <f>IF(A203="","",MONTH(A203))</f>
        <v/>
      </c>
    </row>
    <row r="204">
      <c r="A204" s="11" t="n"/>
      <c r="B204" s="12" t="n"/>
      <c r="C204" s="12" t="n"/>
      <c r="D204" s="13" t="n"/>
      <c r="E204" s="12" t="n"/>
      <c r="F204" s="14">
        <f>IF(D204="","",IF(C204="Физлицо",0.04,0.06))</f>
        <v/>
      </c>
      <c r="G204" s="15">
        <f>IF(D204="","",MIN(MAX(Старт!$B$6-SUM(G$1:G203),0),D204*IF(C204="Физлицо",0.01,0.02)))</f>
        <v/>
      </c>
      <c r="H204" s="15">
        <f>IF(D204="","",D204*F204-G204)</f>
        <v/>
      </c>
      <c r="I204" s="16">
        <f>IF(A204="","",YEAR(A204))</f>
        <v/>
      </c>
      <c r="J204" s="16">
        <f>IF(A204="","",MONTH(A204))</f>
        <v/>
      </c>
    </row>
    <row r="205">
      <c r="A205" s="11" t="n"/>
      <c r="B205" s="12" t="n"/>
      <c r="C205" s="12" t="n"/>
      <c r="D205" s="13" t="n"/>
      <c r="E205" s="12" t="n"/>
      <c r="F205" s="14">
        <f>IF(D205="","",IF(C205="Физлицо",0.04,0.06))</f>
        <v/>
      </c>
      <c r="G205" s="15">
        <f>IF(D205="","",MIN(MAX(Старт!$B$6-SUM(G$1:G204),0),D205*IF(C205="Физлицо",0.01,0.02)))</f>
        <v/>
      </c>
      <c r="H205" s="15">
        <f>IF(D205="","",D205*F205-G205)</f>
        <v/>
      </c>
      <c r="I205" s="16">
        <f>IF(A205="","",YEAR(A205))</f>
        <v/>
      </c>
      <c r="J205" s="16">
        <f>IF(A205="","",MONTH(A205))</f>
        <v/>
      </c>
    </row>
    <row r="206">
      <c r="A206" s="11" t="n"/>
      <c r="B206" s="12" t="n"/>
      <c r="C206" s="12" t="n"/>
      <c r="D206" s="13" t="n"/>
      <c r="E206" s="12" t="n"/>
      <c r="F206" s="14">
        <f>IF(D206="","",IF(C206="Физлицо",0.04,0.06))</f>
        <v/>
      </c>
      <c r="G206" s="15">
        <f>IF(D206="","",MIN(MAX(Старт!$B$6-SUM(G$1:G205),0),D206*IF(C206="Физлицо",0.01,0.02)))</f>
        <v/>
      </c>
      <c r="H206" s="15">
        <f>IF(D206="","",D206*F206-G206)</f>
        <v/>
      </c>
      <c r="I206" s="16">
        <f>IF(A206="","",YEAR(A206))</f>
        <v/>
      </c>
      <c r="J206" s="16">
        <f>IF(A206="","",MONTH(A206))</f>
        <v/>
      </c>
    </row>
    <row r="207">
      <c r="A207" s="11" t="n"/>
      <c r="B207" s="12" t="n"/>
      <c r="C207" s="12" t="n"/>
      <c r="D207" s="13" t="n"/>
      <c r="E207" s="12" t="n"/>
      <c r="F207" s="14">
        <f>IF(D207="","",IF(C207="Физлицо",0.04,0.06))</f>
        <v/>
      </c>
      <c r="G207" s="15">
        <f>IF(D207="","",MIN(MAX(Старт!$B$6-SUM(G$1:G206),0),D207*IF(C207="Физлицо",0.01,0.02)))</f>
        <v/>
      </c>
      <c r="H207" s="15">
        <f>IF(D207="","",D207*F207-G207)</f>
        <v/>
      </c>
      <c r="I207" s="16">
        <f>IF(A207="","",YEAR(A207))</f>
        <v/>
      </c>
      <c r="J207" s="16">
        <f>IF(A207="","",MONTH(A207))</f>
        <v/>
      </c>
    </row>
    <row r="208">
      <c r="A208" s="11" t="n"/>
      <c r="B208" s="12" t="n"/>
      <c r="C208" s="12" t="n"/>
      <c r="D208" s="13" t="n"/>
      <c r="E208" s="12" t="n"/>
      <c r="F208" s="14">
        <f>IF(D208="","",IF(C208="Физлицо",0.04,0.06))</f>
        <v/>
      </c>
      <c r="G208" s="15">
        <f>IF(D208="","",MIN(MAX(Старт!$B$6-SUM(G$1:G207),0),D208*IF(C208="Физлицо",0.01,0.02)))</f>
        <v/>
      </c>
      <c r="H208" s="15">
        <f>IF(D208="","",D208*F208-G208)</f>
        <v/>
      </c>
      <c r="I208" s="16">
        <f>IF(A208="","",YEAR(A208))</f>
        <v/>
      </c>
      <c r="J208" s="16">
        <f>IF(A208="","",MONTH(A208))</f>
        <v/>
      </c>
    </row>
    <row r="209">
      <c r="A209" s="11" t="n"/>
      <c r="B209" s="12" t="n"/>
      <c r="C209" s="12" t="n"/>
      <c r="D209" s="13" t="n"/>
      <c r="E209" s="12" t="n"/>
      <c r="F209" s="14">
        <f>IF(D209="","",IF(C209="Физлицо",0.04,0.06))</f>
        <v/>
      </c>
      <c r="G209" s="15">
        <f>IF(D209="","",MIN(MAX(Старт!$B$6-SUM(G$1:G208),0),D209*IF(C209="Физлицо",0.01,0.02)))</f>
        <v/>
      </c>
      <c r="H209" s="15">
        <f>IF(D209="","",D209*F209-G209)</f>
        <v/>
      </c>
      <c r="I209" s="16">
        <f>IF(A209="","",YEAR(A209))</f>
        <v/>
      </c>
      <c r="J209" s="16">
        <f>IF(A209="","",MONTH(A209))</f>
        <v/>
      </c>
    </row>
    <row r="210">
      <c r="A210" s="11" t="n"/>
      <c r="B210" s="12" t="n"/>
      <c r="C210" s="12" t="n"/>
      <c r="D210" s="13" t="n"/>
      <c r="E210" s="12" t="n"/>
      <c r="F210" s="14">
        <f>IF(D210="","",IF(C210="Физлицо",0.04,0.06))</f>
        <v/>
      </c>
      <c r="G210" s="15">
        <f>IF(D210="","",MIN(MAX(Старт!$B$6-SUM(G$1:G209),0),D210*IF(C210="Физлицо",0.01,0.02)))</f>
        <v/>
      </c>
      <c r="H210" s="15">
        <f>IF(D210="","",D210*F210-G210)</f>
        <v/>
      </c>
      <c r="I210" s="16">
        <f>IF(A210="","",YEAR(A210))</f>
        <v/>
      </c>
      <c r="J210" s="16">
        <f>IF(A210="","",MONTH(A210))</f>
        <v/>
      </c>
    </row>
    <row r="211">
      <c r="A211" s="11" t="n"/>
      <c r="B211" s="12" t="n"/>
      <c r="C211" s="12" t="n"/>
      <c r="D211" s="13" t="n"/>
      <c r="E211" s="12" t="n"/>
      <c r="F211" s="14">
        <f>IF(D211="","",IF(C211="Физлицо",0.04,0.06))</f>
        <v/>
      </c>
      <c r="G211" s="15">
        <f>IF(D211="","",MIN(MAX(Старт!$B$6-SUM(G$1:G210),0),D211*IF(C211="Физлицо",0.01,0.02)))</f>
        <v/>
      </c>
      <c r="H211" s="15">
        <f>IF(D211="","",D211*F211-G211)</f>
        <v/>
      </c>
      <c r="I211" s="16">
        <f>IF(A211="","",YEAR(A211))</f>
        <v/>
      </c>
      <c r="J211" s="16">
        <f>IF(A211="","",MONTH(A211))</f>
        <v/>
      </c>
    </row>
    <row r="212">
      <c r="A212" s="11" t="n"/>
      <c r="B212" s="12" t="n"/>
      <c r="C212" s="12" t="n"/>
      <c r="D212" s="13" t="n"/>
      <c r="E212" s="12" t="n"/>
      <c r="F212" s="14">
        <f>IF(D212="","",IF(C212="Физлицо",0.04,0.06))</f>
        <v/>
      </c>
      <c r="G212" s="15">
        <f>IF(D212="","",MIN(MAX(Старт!$B$6-SUM(G$1:G211),0),D212*IF(C212="Физлицо",0.01,0.02)))</f>
        <v/>
      </c>
      <c r="H212" s="15">
        <f>IF(D212="","",D212*F212-G212)</f>
        <v/>
      </c>
      <c r="I212" s="16">
        <f>IF(A212="","",YEAR(A212))</f>
        <v/>
      </c>
      <c r="J212" s="16">
        <f>IF(A212="","",MONTH(A212))</f>
        <v/>
      </c>
    </row>
    <row r="213">
      <c r="A213" s="11" t="n"/>
      <c r="B213" s="12" t="n"/>
      <c r="C213" s="12" t="n"/>
      <c r="D213" s="13" t="n"/>
      <c r="E213" s="12" t="n"/>
      <c r="F213" s="14">
        <f>IF(D213="","",IF(C213="Физлицо",0.04,0.06))</f>
        <v/>
      </c>
      <c r="G213" s="15">
        <f>IF(D213="","",MIN(MAX(Старт!$B$6-SUM(G$1:G212),0),D213*IF(C213="Физлицо",0.01,0.02)))</f>
        <v/>
      </c>
      <c r="H213" s="15">
        <f>IF(D213="","",D213*F213-G213)</f>
        <v/>
      </c>
      <c r="I213" s="16">
        <f>IF(A213="","",YEAR(A213))</f>
        <v/>
      </c>
      <c r="J213" s="16">
        <f>IF(A213="","",MONTH(A213))</f>
        <v/>
      </c>
    </row>
    <row r="214">
      <c r="A214" s="11" t="n"/>
      <c r="B214" s="12" t="n"/>
      <c r="C214" s="12" t="n"/>
      <c r="D214" s="13" t="n"/>
      <c r="E214" s="12" t="n"/>
      <c r="F214" s="14">
        <f>IF(D214="","",IF(C214="Физлицо",0.04,0.06))</f>
        <v/>
      </c>
      <c r="G214" s="15">
        <f>IF(D214="","",MIN(MAX(Старт!$B$6-SUM(G$1:G213),0),D214*IF(C214="Физлицо",0.01,0.02)))</f>
        <v/>
      </c>
      <c r="H214" s="15">
        <f>IF(D214="","",D214*F214-G214)</f>
        <v/>
      </c>
      <c r="I214" s="16">
        <f>IF(A214="","",YEAR(A214))</f>
        <v/>
      </c>
      <c r="J214" s="16">
        <f>IF(A214="","",MONTH(A214))</f>
        <v/>
      </c>
    </row>
    <row r="215">
      <c r="A215" s="11" t="n"/>
      <c r="B215" s="12" t="n"/>
      <c r="C215" s="12" t="n"/>
      <c r="D215" s="13" t="n"/>
      <c r="E215" s="12" t="n"/>
      <c r="F215" s="14">
        <f>IF(D215="","",IF(C215="Физлицо",0.04,0.06))</f>
        <v/>
      </c>
      <c r="G215" s="15">
        <f>IF(D215="","",MIN(MAX(Старт!$B$6-SUM(G$1:G214),0),D215*IF(C215="Физлицо",0.01,0.02)))</f>
        <v/>
      </c>
      <c r="H215" s="15">
        <f>IF(D215="","",D215*F215-G215)</f>
        <v/>
      </c>
      <c r="I215" s="16">
        <f>IF(A215="","",YEAR(A215))</f>
        <v/>
      </c>
      <c r="J215" s="16">
        <f>IF(A215="","",MONTH(A215))</f>
        <v/>
      </c>
    </row>
    <row r="216">
      <c r="A216" s="11" t="n"/>
      <c r="B216" s="12" t="n"/>
      <c r="C216" s="12" t="n"/>
      <c r="D216" s="13" t="n"/>
      <c r="E216" s="12" t="n"/>
      <c r="F216" s="14">
        <f>IF(D216="","",IF(C216="Физлицо",0.04,0.06))</f>
        <v/>
      </c>
      <c r="G216" s="15">
        <f>IF(D216="","",MIN(MAX(Старт!$B$6-SUM(G$1:G215),0),D216*IF(C216="Физлицо",0.01,0.02)))</f>
        <v/>
      </c>
      <c r="H216" s="15">
        <f>IF(D216="","",D216*F216-G216)</f>
        <v/>
      </c>
      <c r="I216" s="16">
        <f>IF(A216="","",YEAR(A216))</f>
        <v/>
      </c>
      <c r="J216" s="16">
        <f>IF(A216="","",MONTH(A216))</f>
        <v/>
      </c>
    </row>
    <row r="217">
      <c r="A217" s="11" t="n"/>
      <c r="B217" s="12" t="n"/>
      <c r="C217" s="12" t="n"/>
      <c r="D217" s="13" t="n"/>
      <c r="E217" s="12" t="n"/>
      <c r="F217" s="14">
        <f>IF(D217="","",IF(C217="Физлицо",0.04,0.06))</f>
        <v/>
      </c>
      <c r="G217" s="15">
        <f>IF(D217="","",MIN(MAX(Старт!$B$6-SUM(G$1:G216),0),D217*IF(C217="Физлицо",0.01,0.02)))</f>
        <v/>
      </c>
      <c r="H217" s="15">
        <f>IF(D217="","",D217*F217-G217)</f>
        <v/>
      </c>
      <c r="I217" s="16">
        <f>IF(A217="","",YEAR(A217))</f>
        <v/>
      </c>
      <c r="J217" s="16">
        <f>IF(A217="","",MONTH(A217))</f>
        <v/>
      </c>
    </row>
    <row r="218">
      <c r="A218" s="11" t="n"/>
      <c r="B218" s="12" t="n"/>
      <c r="C218" s="12" t="n"/>
      <c r="D218" s="13" t="n"/>
      <c r="E218" s="12" t="n"/>
      <c r="F218" s="14">
        <f>IF(D218="","",IF(C218="Физлицо",0.04,0.06))</f>
        <v/>
      </c>
      <c r="G218" s="15">
        <f>IF(D218="","",MIN(MAX(Старт!$B$6-SUM(G$1:G217),0),D218*IF(C218="Физлицо",0.01,0.02)))</f>
        <v/>
      </c>
      <c r="H218" s="15">
        <f>IF(D218="","",D218*F218-G218)</f>
        <v/>
      </c>
      <c r="I218" s="16">
        <f>IF(A218="","",YEAR(A218))</f>
        <v/>
      </c>
      <c r="J218" s="16">
        <f>IF(A218="","",MONTH(A218))</f>
        <v/>
      </c>
    </row>
    <row r="219">
      <c r="A219" s="11" t="n"/>
      <c r="B219" s="12" t="n"/>
      <c r="C219" s="12" t="n"/>
      <c r="D219" s="13" t="n"/>
      <c r="E219" s="12" t="n"/>
      <c r="F219" s="14">
        <f>IF(D219="","",IF(C219="Физлицо",0.04,0.06))</f>
        <v/>
      </c>
      <c r="G219" s="15">
        <f>IF(D219="","",MIN(MAX(Старт!$B$6-SUM(G$1:G218),0),D219*IF(C219="Физлицо",0.01,0.02)))</f>
        <v/>
      </c>
      <c r="H219" s="15">
        <f>IF(D219="","",D219*F219-G219)</f>
        <v/>
      </c>
      <c r="I219" s="16">
        <f>IF(A219="","",YEAR(A219))</f>
        <v/>
      </c>
      <c r="J219" s="16">
        <f>IF(A219="","",MONTH(A219))</f>
        <v/>
      </c>
    </row>
    <row r="220">
      <c r="A220" s="11" t="n"/>
      <c r="B220" s="12" t="n"/>
      <c r="C220" s="12" t="n"/>
      <c r="D220" s="13" t="n"/>
      <c r="E220" s="12" t="n"/>
      <c r="F220" s="14">
        <f>IF(D220="","",IF(C220="Физлицо",0.04,0.06))</f>
        <v/>
      </c>
      <c r="G220" s="15">
        <f>IF(D220="","",MIN(MAX(Старт!$B$6-SUM(G$1:G219),0),D220*IF(C220="Физлицо",0.01,0.02)))</f>
        <v/>
      </c>
      <c r="H220" s="15">
        <f>IF(D220="","",D220*F220-G220)</f>
        <v/>
      </c>
      <c r="I220" s="16">
        <f>IF(A220="","",YEAR(A220))</f>
        <v/>
      </c>
      <c r="J220" s="16">
        <f>IF(A220="","",MONTH(A220))</f>
        <v/>
      </c>
    </row>
    <row r="221">
      <c r="A221" s="11" t="n"/>
      <c r="B221" s="12" t="n"/>
      <c r="C221" s="12" t="n"/>
      <c r="D221" s="13" t="n"/>
      <c r="E221" s="12" t="n"/>
      <c r="F221" s="14">
        <f>IF(D221="","",IF(C221="Физлицо",0.04,0.06))</f>
        <v/>
      </c>
      <c r="G221" s="15">
        <f>IF(D221="","",MIN(MAX(Старт!$B$6-SUM(G$1:G220),0),D221*IF(C221="Физлицо",0.01,0.02)))</f>
        <v/>
      </c>
      <c r="H221" s="15">
        <f>IF(D221="","",D221*F221-G221)</f>
        <v/>
      </c>
      <c r="I221" s="16">
        <f>IF(A221="","",YEAR(A221))</f>
        <v/>
      </c>
      <c r="J221" s="16">
        <f>IF(A221="","",MONTH(A221))</f>
        <v/>
      </c>
    </row>
    <row r="222">
      <c r="A222" s="11" t="n"/>
      <c r="B222" s="12" t="n"/>
      <c r="C222" s="12" t="n"/>
      <c r="D222" s="13" t="n"/>
      <c r="E222" s="12" t="n"/>
      <c r="F222" s="14">
        <f>IF(D222="","",IF(C222="Физлицо",0.04,0.06))</f>
        <v/>
      </c>
      <c r="G222" s="15">
        <f>IF(D222="","",MIN(MAX(Старт!$B$6-SUM(G$1:G221),0),D222*IF(C222="Физлицо",0.01,0.02)))</f>
        <v/>
      </c>
      <c r="H222" s="15">
        <f>IF(D222="","",D222*F222-G222)</f>
        <v/>
      </c>
      <c r="I222" s="16">
        <f>IF(A222="","",YEAR(A222))</f>
        <v/>
      </c>
      <c r="J222" s="16">
        <f>IF(A222="","",MONTH(A222))</f>
        <v/>
      </c>
    </row>
    <row r="223">
      <c r="A223" s="11" t="n"/>
      <c r="B223" s="12" t="n"/>
      <c r="C223" s="12" t="n"/>
      <c r="D223" s="13" t="n"/>
      <c r="E223" s="12" t="n"/>
      <c r="F223" s="14">
        <f>IF(D223="","",IF(C223="Физлицо",0.04,0.06))</f>
        <v/>
      </c>
      <c r="G223" s="15">
        <f>IF(D223="","",MIN(MAX(Старт!$B$6-SUM(G$1:G222),0),D223*IF(C223="Физлицо",0.01,0.02)))</f>
        <v/>
      </c>
      <c r="H223" s="15">
        <f>IF(D223="","",D223*F223-G223)</f>
        <v/>
      </c>
      <c r="I223" s="16">
        <f>IF(A223="","",YEAR(A223))</f>
        <v/>
      </c>
      <c r="J223" s="16">
        <f>IF(A223="","",MONTH(A223))</f>
        <v/>
      </c>
    </row>
    <row r="224">
      <c r="A224" s="11" t="n"/>
      <c r="B224" s="12" t="n"/>
      <c r="C224" s="12" t="n"/>
      <c r="D224" s="13" t="n"/>
      <c r="E224" s="12" t="n"/>
      <c r="F224" s="14">
        <f>IF(D224="","",IF(C224="Физлицо",0.04,0.06))</f>
        <v/>
      </c>
      <c r="G224" s="15">
        <f>IF(D224="","",MIN(MAX(Старт!$B$6-SUM(G$1:G223),0),D224*IF(C224="Физлицо",0.01,0.02)))</f>
        <v/>
      </c>
      <c r="H224" s="15">
        <f>IF(D224="","",D224*F224-G224)</f>
        <v/>
      </c>
      <c r="I224" s="16">
        <f>IF(A224="","",YEAR(A224))</f>
        <v/>
      </c>
      <c r="J224" s="16">
        <f>IF(A224="","",MONTH(A224))</f>
        <v/>
      </c>
    </row>
    <row r="225">
      <c r="A225" s="11" t="n"/>
      <c r="B225" s="12" t="n"/>
      <c r="C225" s="12" t="n"/>
      <c r="D225" s="13" t="n"/>
      <c r="E225" s="12" t="n"/>
      <c r="F225" s="14">
        <f>IF(D225="","",IF(C225="Физлицо",0.04,0.06))</f>
        <v/>
      </c>
      <c r="G225" s="15">
        <f>IF(D225="","",MIN(MAX(Старт!$B$6-SUM(G$1:G224),0),D225*IF(C225="Физлицо",0.01,0.02)))</f>
        <v/>
      </c>
      <c r="H225" s="15">
        <f>IF(D225="","",D225*F225-G225)</f>
        <v/>
      </c>
      <c r="I225" s="16">
        <f>IF(A225="","",YEAR(A225))</f>
        <v/>
      </c>
      <c r="J225" s="16">
        <f>IF(A225="","",MONTH(A225))</f>
        <v/>
      </c>
    </row>
    <row r="226">
      <c r="A226" s="11" t="n"/>
      <c r="B226" s="12" t="n"/>
      <c r="C226" s="12" t="n"/>
      <c r="D226" s="13" t="n"/>
      <c r="E226" s="12" t="n"/>
      <c r="F226" s="14">
        <f>IF(D226="","",IF(C226="Физлицо",0.04,0.06))</f>
        <v/>
      </c>
      <c r="G226" s="15">
        <f>IF(D226="","",MIN(MAX(Старт!$B$6-SUM(G$1:G225),0),D226*IF(C226="Физлицо",0.01,0.02)))</f>
        <v/>
      </c>
      <c r="H226" s="15">
        <f>IF(D226="","",D226*F226-G226)</f>
        <v/>
      </c>
      <c r="I226" s="16">
        <f>IF(A226="","",YEAR(A226))</f>
        <v/>
      </c>
      <c r="J226" s="16">
        <f>IF(A226="","",MONTH(A226))</f>
        <v/>
      </c>
    </row>
    <row r="227">
      <c r="A227" s="11" t="n"/>
      <c r="B227" s="12" t="n"/>
      <c r="C227" s="12" t="n"/>
      <c r="D227" s="13" t="n"/>
      <c r="E227" s="12" t="n"/>
      <c r="F227" s="14">
        <f>IF(D227="","",IF(C227="Физлицо",0.04,0.06))</f>
        <v/>
      </c>
      <c r="G227" s="15">
        <f>IF(D227="","",MIN(MAX(Старт!$B$6-SUM(G$1:G226),0),D227*IF(C227="Физлицо",0.01,0.02)))</f>
        <v/>
      </c>
      <c r="H227" s="15">
        <f>IF(D227="","",D227*F227-G227)</f>
        <v/>
      </c>
      <c r="I227" s="16">
        <f>IF(A227="","",YEAR(A227))</f>
        <v/>
      </c>
      <c r="J227" s="16">
        <f>IF(A227="","",MONTH(A227))</f>
        <v/>
      </c>
    </row>
    <row r="228">
      <c r="A228" s="11" t="n"/>
      <c r="B228" s="12" t="n"/>
      <c r="C228" s="12" t="n"/>
      <c r="D228" s="13" t="n"/>
      <c r="E228" s="12" t="n"/>
      <c r="F228" s="14">
        <f>IF(D228="","",IF(C228="Физлицо",0.04,0.06))</f>
        <v/>
      </c>
      <c r="G228" s="15">
        <f>IF(D228="","",MIN(MAX(Старт!$B$6-SUM(G$1:G227),0),D228*IF(C228="Физлицо",0.01,0.02)))</f>
        <v/>
      </c>
      <c r="H228" s="15">
        <f>IF(D228="","",D228*F228-G228)</f>
        <v/>
      </c>
      <c r="I228" s="16">
        <f>IF(A228="","",YEAR(A228))</f>
        <v/>
      </c>
      <c r="J228" s="16">
        <f>IF(A228="","",MONTH(A228))</f>
        <v/>
      </c>
    </row>
    <row r="229">
      <c r="A229" s="11" t="n"/>
      <c r="B229" s="12" t="n"/>
      <c r="C229" s="12" t="n"/>
      <c r="D229" s="13" t="n"/>
      <c r="E229" s="12" t="n"/>
      <c r="F229" s="14">
        <f>IF(D229="","",IF(C229="Физлицо",0.04,0.06))</f>
        <v/>
      </c>
      <c r="G229" s="15">
        <f>IF(D229="","",MIN(MAX(Старт!$B$6-SUM(G$1:G228),0),D229*IF(C229="Физлицо",0.01,0.02)))</f>
        <v/>
      </c>
      <c r="H229" s="15">
        <f>IF(D229="","",D229*F229-G229)</f>
        <v/>
      </c>
      <c r="I229" s="16">
        <f>IF(A229="","",YEAR(A229))</f>
        <v/>
      </c>
      <c r="J229" s="16">
        <f>IF(A229="","",MONTH(A229))</f>
        <v/>
      </c>
    </row>
    <row r="230">
      <c r="A230" s="11" t="n"/>
      <c r="B230" s="12" t="n"/>
      <c r="C230" s="12" t="n"/>
      <c r="D230" s="13" t="n"/>
      <c r="E230" s="12" t="n"/>
      <c r="F230" s="14">
        <f>IF(D230="","",IF(C230="Физлицо",0.04,0.06))</f>
        <v/>
      </c>
      <c r="G230" s="15">
        <f>IF(D230="","",MIN(MAX(Старт!$B$6-SUM(G$1:G229),0),D230*IF(C230="Физлицо",0.01,0.02)))</f>
        <v/>
      </c>
      <c r="H230" s="15">
        <f>IF(D230="","",D230*F230-G230)</f>
        <v/>
      </c>
      <c r="I230" s="16">
        <f>IF(A230="","",YEAR(A230))</f>
        <v/>
      </c>
      <c r="J230" s="16">
        <f>IF(A230="","",MONTH(A230))</f>
        <v/>
      </c>
    </row>
    <row r="231">
      <c r="A231" s="11" t="n"/>
      <c r="B231" s="12" t="n"/>
      <c r="C231" s="12" t="n"/>
      <c r="D231" s="13" t="n"/>
      <c r="E231" s="12" t="n"/>
      <c r="F231" s="14">
        <f>IF(D231="","",IF(C231="Физлицо",0.04,0.06))</f>
        <v/>
      </c>
      <c r="G231" s="15">
        <f>IF(D231="","",MIN(MAX(Старт!$B$6-SUM(G$1:G230),0),D231*IF(C231="Физлицо",0.01,0.02)))</f>
        <v/>
      </c>
      <c r="H231" s="15">
        <f>IF(D231="","",D231*F231-G231)</f>
        <v/>
      </c>
      <c r="I231" s="16">
        <f>IF(A231="","",YEAR(A231))</f>
        <v/>
      </c>
      <c r="J231" s="16">
        <f>IF(A231="","",MONTH(A231))</f>
        <v/>
      </c>
    </row>
    <row r="232">
      <c r="A232" s="11" t="n"/>
      <c r="B232" s="12" t="n"/>
      <c r="C232" s="12" t="n"/>
      <c r="D232" s="13" t="n"/>
      <c r="E232" s="12" t="n"/>
      <c r="F232" s="14">
        <f>IF(D232="","",IF(C232="Физлицо",0.04,0.06))</f>
        <v/>
      </c>
      <c r="G232" s="15">
        <f>IF(D232="","",MIN(MAX(Старт!$B$6-SUM(G$1:G231),0),D232*IF(C232="Физлицо",0.01,0.02)))</f>
        <v/>
      </c>
      <c r="H232" s="15">
        <f>IF(D232="","",D232*F232-G232)</f>
        <v/>
      </c>
      <c r="I232" s="16">
        <f>IF(A232="","",YEAR(A232))</f>
        <v/>
      </c>
      <c r="J232" s="16">
        <f>IF(A232="","",MONTH(A232))</f>
        <v/>
      </c>
    </row>
    <row r="233">
      <c r="A233" s="11" t="n"/>
      <c r="B233" s="12" t="n"/>
      <c r="C233" s="12" t="n"/>
      <c r="D233" s="13" t="n"/>
      <c r="E233" s="12" t="n"/>
      <c r="F233" s="14">
        <f>IF(D233="","",IF(C233="Физлицо",0.04,0.06))</f>
        <v/>
      </c>
      <c r="G233" s="15">
        <f>IF(D233="","",MIN(MAX(Старт!$B$6-SUM(G$1:G232),0),D233*IF(C233="Физлицо",0.01,0.02)))</f>
        <v/>
      </c>
      <c r="H233" s="15">
        <f>IF(D233="","",D233*F233-G233)</f>
        <v/>
      </c>
      <c r="I233" s="16">
        <f>IF(A233="","",YEAR(A233))</f>
        <v/>
      </c>
      <c r="J233" s="16">
        <f>IF(A233="","",MONTH(A233))</f>
        <v/>
      </c>
    </row>
    <row r="234">
      <c r="A234" s="11" t="n"/>
      <c r="B234" s="12" t="n"/>
      <c r="C234" s="12" t="n"/>
      <c r="D234" s="13" t="n"/>
      <c r="E234" s="12" t="n"/>
      <c r="F234" s="14">
        <f>IF(D234="","",IF(C234="Физлицо",0.04,0.06))</f>
        <v/>
      </c>
      <c r="G234" s="15">
        <f>IF(D234="","",MIN(MAX(Старт!$B$6-SUM(G$1:G233),0),D234*IF(C234="Физлицо",0.01,0.02)))</f>
        <v/>
      </c>
      <c r="H234" s="15">
        <f>IF(D234="","",D234*F234-G234)</f>
        <v/>
      </c>
      <c r="I234" s="16">
        <f>IF(A234="","",YEAR(A234))</f>
        <v/>
      </c>
      <c r="J234" s="16">
        <f>IF(A234="","",MONTH(A234))</f>
        <v/>
      </c>
    </row>
    <row r="235">
      <c r="A235" s="11" t="n"/>
      <c r="B235" s="12" t="n"/>
      <c r="C235" s="12" t="n"/>
      <c r="D235" s="13" t="n"/>
      <c r="E235" s="12" t="n"/>
      <c r="F235" s="14">
        <f>IF(D235="","",IF(C235="Физлицо",0.04,0.06))</f>
        <v/>
      </c>
      <c r="G235" s="15">
        <f>IF(D235="","",MIN(MAX(Старт!$B$6-SUM(G$1:G234),0),D235*IF(C235="Физлицо",0.01,0.02)))</f>
        <v/>
      </c>
      <c r="H235" s="15">
        <f>IF(D235="","",D235*F235-G235)</f>
        <v/>
      </c>
      <c r="I235" s="16">
        <f>IF(A235="","",YEAR(A235))</f>
        <v/>
      </c>
      <c r="J235" s="16">
        <f>IF(A235="","",MONTH(A235))</f>
        <v/>
      </c>
    </row>
    <row r="236">
      <c r="A236" s="11" t="n"/>
      <c r="B236" s="12" t="n"/>
      <c r="C236" s="12" t="n"/>
      <c r="D236" s="13" t="n"/>
      <c r="E236" s="12" t="n"/>
      <c r="F236" s="14">
        <f>IF(D236="","",IF(C236="Физлицо",0.04,0.06))</f>
        <v/>
      </c>
      <c r="G236" s="15">
        <f>IF(D236="","",MIN(MAX(Старт!$B$6-SUM(G$1:G235),0),D236*IF(C236="Физлицо",0.01,0.02)))</f>
        <v/>
      </c>
      <c r="H236" s="15">
        <f>IF(D236="","",D236*F236-G236)</f>
        <v/>
      </c>
      <c r="I236" s="16">
        <f>IF(A236="","",YEAR(A236))</f>
        <v/>
      </c>
      <c r="J236" s="16">
        <f>IF(A236="","",MONTH(A236))</f>
        <v/>
      </c>
    </row>
    <row r="237">
      <c r="A237" s="11" t="n"/>
      <c r="B237" s="12" t="n"/>
      <c r="C237" s="12" t="n"/>
      <c r="D237" s="13" t="n"/>
      <c r="E237" s="12" t="n"/>
      <c r="F237" s="14">
        <f>IF(D237="","",IF(C237="Физлицо",0.04,0.06))</f>
        <v/>
      </c>
      <c r="G237" s="15">
        <f>IF(D237="","",MIN(MAX(Старт!$B$6-SUM(G$1:G236),0),D237*IF(C237="Физлицо",0.01,0.02)))</f>
        <v/>
      </c>
      <c r="H237" s="15">
        <f>IF(D237="","",D237*F237-G237)</f>
        <v/>
      </c>
      <c r="I237" s="16">
        <f>IF(A237="","",YEAR(A237))</f>
        <v/>
      </c>
      <c r="J237" s="16">
        <f>IF(A237="","",MONTH(A237))</f>
        <v/>
      </c>
    </row>
    <row r="238">
      <c r="A238" s="11" t="n"/>
      <c r="B238" s="12" t="n"/>
      <c r="C238" s="12" t="n"/>
      <c r="D238" s="13" t="n"/>
      <c r="E238" s="12" t="n"/>
      <c r="F238" s="14">
        <f>IF(D238="","",IF(C238="Физлицо",0.04,0.06))</f>
        <v/>
      </c>
      <c r="G238" s="15">
        <f>IF(D238="","",MIN(MAX(Старт!$B$6-SUM(G$1:G237),0),D238*IF(C238="Физлицо",0.01,0.02)))</f>
        <v/>
      </c>
      <c r="H238" s="15">
        <f>IF(D238="","",D238*F238-G238)</f>
        <v/>
      </c>
      <c r="I238" s="16">
        <f>IF(A238="","",YEAR(A238))</f>
        <v/>
      </c>
      <c r="J238" s="16">
        <f>IF(A238="","",MONTH(A238))</f>
        <v/>
      </c>
    </row>
    <row r="239">
      <c r="A239" s="11" t="n"/>
      <c r="B239" s="12" t="n"/>
      <c r="C239" s="12" t="n"/>
      <c r="D239" s="13" t="n"/>
      <c r="E239" s="12" t="n"/>
      <c r="F239" s="14">
        <f>IF(D239="","",IF(C239="Физлицо",0.04,0.06))</f>
        <v/>
      </c>
      <c r="G239" s="15">
        <f>IF(D239="","",MIN(MAX(Старт!$B$6-SUM(G$1:G238),0),D239*IF(C239="Физлицо",0.01,0.02)))</f>
        <v/>
      </c>
      <c r="H239" s="15">
        <f>IF(D239="","",D239*F239-G239)</f>
        <v/>
      </c>
      <c r="I239" s="16">
        <f>IF(A239="","",YEAR(A239))</f>
        <v/>
      </c>
      <c r="J239" s="16">
        <f>IF(A239="","",MONTH(A239))</f>
        <v/>
      </c>
    </row>
    <row r="240">
      <c r="A240" s="11" t="n"/>
      <c r="B240" s="12" t="n"/>
      <c r="C240" s="12" t="n"/>
      <c r="D240" s="13" t="n"/>
      <c r="E240" s="12" t="n"/>
      <c r="F240" s="14">
        <f>IF(D240="","",IF(C240="Физлицо",0.04,0.06))</f>
        <v/>
      </c>
      <c r="G240" s="15">
        <f>IF(D240="","",MIN(MAX(Старт!$B$6-SUM(G$1:G239),0),D240*IF(C240="Физлицо",0.01,0.02)))</f>
        <v/>
      </c>
      <c r="H240" s="15">
        <f>IF(D240="","",D240*F240-G240)</f>
        <v/>
      </c>
      <c r="I240" s="16">
        <f>IF(A240="","",YEAR(A240))</f>
        <v/>
      </c>
      <c r="J240" s="16">
        <f>IF(A240="","",MONTH(A240))</f>
        <v/>
      </c>
    </row>
    <row r="241">
      <c r="A241" s="11" t="n"/>
      <c r="B241" s="12" t="n"/>
      <c r="C241" s="12" t="n"/>
      <c r="D241" s="13" t="n"/>
      <c r="E241" s="12" t="n"/>
      <c r="F241" s="14">
        <f>IF(D241="","",IF(C241="Физлицо",0.04,0.06))</f>
        <v/>
      </c>
      <c r="G241" s="15">
        <f>IF(D241="","",MIN(MAX(Старт!$B$6-SUM(G$1:G240),0),D241*IF(C241="Физлицо",0.01,0.02)))</f>
        <v/>
      </c>
      <c r="H241" s="15">
        <f>IF(D241="","",D241*F241-G241)</f>
        <v/>
      </c>
      <c r="I241" s="16">
        <f>IF(A241="","",YEAR(A241))</f>
        <v/>
      </c>
      <c r="J241" s="16">
        <f>IF(A241="","",MONTH(A241))</f>
        <v/>
      </c>
    </row>
    <row r="242">
      <c r="A242" s="11" t="n"/>
      <c r="B242" s="12" t="n"/>
      <c r="C242" s="12" t="n"/>
      <c r="D242" s="13" t="n"/>
      <c r="E242" s="12" t="n"/>
      <c r="F242" s="14">
        <f>IF(D242="","",IF(C242="Физлицо",0.04,0.06))</f>
        <v/>
      </c>
      <c r="G242" s="15">
        <f>IF(D242="","",MIN(MAX(Старт!$B$6-SUM(G$1:G241),0),D242*IF(C242="Физлицо",0.01,0.02)))</f>
        <v/>
      </c>
      <c r="H242" s="15">
        <f>IF(D242="","",D242*F242-G242)</f>
        <v/>
      </c>
      <c r="I242" s="16">
        <f>IF(A242="","",YEAR(A242))</f>
        <v/>
      </c>
      <c r="J242" s="16">
        <f>IF(A242="","",MONTH(A242))</f>
        <v/>
      </c>
    </row>
    <row r="243">
      <c r="A243" s="11" t="n"/>
      <c r="B243" s="12" t="n"/>
      <c r="C243" s="12" t="n"/>
      <c r="D243" s="13" t="n"/>
      <c r="E243" s="12" t="n"/>
      <c r="F243" s="14">
        <f>IF(D243="","",IF(C243="Физлицо",0.04,0.06))</f>
        <v/>
      </c>
      <c r="G243" s="15">
        <f>IF(D243="","",MIN(MAX(Старт!$B$6-SUM(G$1:G242),0),D243*IF(C243="Физлицо",0.01,0.02)))</f>
        <v/>
      </c>
      <c r="H243" s="15">
        <f>IF(D243="","",D243*F243-G243)</f>
        <v/>
      </c>
      <c r="I243" s="16">
        <f>IF(A243="","",YEAR(A243))</f>
        <v/>
      </c>
      <c r="J243" s="16">
        <f>IF(A243="","",MONTH(A243))</f>
        <v/>
      </c>
    </row>
    <row r="244">
      <c r="A244" s="11" t="n"/>
      <c r="B244" s="12" t="n"/>
      <c r="C244" s="12" t="n"/>
      <c r="D244" s="13" t="n"/>
      <c r="E244" s="12" t="n"/>
      <c r="F244" s="14">
        <f>IF(D244="","",IF(C244="Физлицо",0.04,0.06))</f>
        <v/>
      </c>
      <c r="G244" s="15">
        <f>IF(D244="","",MIN(MAX(Старт!$B$6-SUM(G$1:G243),0),D244*IF(C244="Физлицо",0.01,0.02)))</f>
        <v/>
      </c>
      <c r="H244" s="15">
        <f>IF(D244="","",D244*F244-G244)</f>
        <v/>
      </c>
      <c r="I244" s="16">
        <f>IF(A244="","",YEAR(A244))</f>
        <v/>
      </c>
      <c r="J244" s="16">
        <f>IF(A244="","",MONTH(A244))</f>
        <v/>
      </c>
    </row>
    <row r="245">
      <c r="A245" s="11" t="n"/>
      <c r="B245" s="12" t="n"/>
      <c r="C245" s="12" t="n"/>
      <c r="D245" s="13" t="n"/>
      <c r="E245" s="12" t="n"/>
      <c r="F245" s="14">
        <f>IF(D245="","",IF(C245="Физлицо",0.04,0.06))</f>
        <v/>
      </c>
      <c r="G245" s="15">
        <f>IF(D245="","",MIN(MAX(Старт!$B$6-SUM(G$1:G244),0),D245*IF(C245="Физлицо",0.01,0.02)))</f>
        <v/>
      </c>
      <c r="H245" s="15">
        <f>IF(D245="","",D245*F245-G245)</f>
        <v/>
      </c>
      <c r="I245" s="16">
        <f>IF(A245="","",YEAR(A245))</f>
        <v/>
      </c>
      <c r="J245" s="16">
        <f>IF(A245="","",MONTH(A245))</f>
        <v/>
      </c>
    </row>
    <row r="246">
      <c r="A246" s="11" t="n"/>
      <c r="B246" s="12" t="n"/>
      <c r="C246" s="12" t="n"/>
      <c r="D246" s="13" t="n"/>
      <c r="E246" s="12" t="n"/>
      <c r="F246" s="14">
        <f>IF(D246="","",IF(C246="Физлицо",0.04,0.06))</f>
        <v/>
      </c>
      <c r="G246" s="15">
        <f>IF(D246="","",MIN(MAX(Старт!$B$6-SUM(G$1:G245),0),D246*IF(C246="Физлицо",0.01,0.02)))</f>
        <v/>
      </c>
      <c r="H246" s="15">
        <f>IF(D246="","",D246*F246-G246)</f>
        <v/>
      </c>
      <c r="I246" s="16">
        <f>IF(A246="","",YEAR(A246))</f>
        <v/>
      </c>
      <c r="J246" s="16">
        <f>IF(A246="","",MONTH(A246))</f>
        <v/>
      </c>
    </row>
    <row r="247">
      <c r="A247" s="11" t="n"/>
      <c r="B247" s="12" t="n"/>
      <c r="C247" s="12" t="n"/>
      <c r="D247" s="13" t="n"/>
      <c r="E247" s="12" t="n"/>
      <c r="F247" s="14">
        <f>IF(D247="","",IF(C247="Физлицо",0.04,0.06))</f>
        <v/>
      </c>
      <c r="G247" s="15">
        <f>IF(D247="","",MIN(MAX(Старт!$B$6-SUM(G$1:G246),0),D247*IF(C247="Физлицо",0.01,0.02)))</f>
        <v/>
      </c>
      <c r="H247" s="15">
        <f>IF(D247="","",D247*F247-G247)</f>
        <v/>
      </c>
      <c r="I247" s="16">
        <f>IF(A247="","",YEAR(A247))</f>
        <v/>
      </c>
      <c r="J247" s="16">
        <f>IF(A247="","",MONTH(A247))</f>
        <v/>
      </c>
    </row>
    <row r="248">
      <c r="A248" s="11" t="n"/>
      <c r="B248" s="12" t="n"/>
      <c r="C248" s="12" t="n"/>
      <c r="D248" s="13" t="n"/>
      <c r="E248" s="12" t="n"/>
      <c r="F248" s="14">
        <f>IF(D248="","",IF(C248="Физлицо",0.04,0.06))</f>
        <v/>
      </c>
      <c r="G248" s="15">
        <f>IF(D248="","",MIN(MAX(Старт!$B$6-SUM(G$1:G247),0),D248*IF(C248="Физлицо",0.01,0.02)))</f>
        <v/>
      </c>
      <c r="H248" s="15">
        <f>IF(D248="","",D248*F248-G248)</f>
        <v/>
      </c>
      <c r="I248" s="16">
        <f>IF(A248="","",YEAR(A248))</f>
        <v/>
      </c>
      <c r="J248" s="16">
        <f>IF(A248="","",MONTH(A248))</f>
        <v/>
      </c>
    </row>
    <row r="249">
      <c r="A249" s="11" t="n"/>
      <c r="B249" s="12" t="n"/>
      <c r="C249" s="12" t="n"/>
      <c r="D249" s="13" t="n"/>
      <c r="E249" s="12" t="n"/>
      <c r="F249" s="14">
        <f>IF(D249="","",IF(C249="Физлицо",0.04,0.06))</f>
        <v/>
      </c>
      <c r="G249" s="15">
        <f>IF(D249="","",MIN(MAX(Старт!$B$6-SUM(G$1:G248),0),D249*IF(C249="Физлицо",0.01,0.02)))</f>
        <v/>
      </c>
      <c r="H249" s="15">
        <f>IF(D249="","",D249*F249-G249)</f>
        <v/>
      </c>
      <c r="I249" s="16">
        <f>IF(A249="","",YEAR(A249))</f>
        <v/>
      </c>
      <c r="J249" s="16">
        <f>IF(A249="","",MONTH(A249))</f>
        <v/>
      </c>
    </row>
    <row r="250">
      <c r="A250" s="11" t="n"/>
      <c r="B250" s="12" t="n"/>
      <c r="C250" s="12" t="n"/>
      <c r="D250" s="13" t="n"/>
      <c r="E250" s="12" t="n"/>
      <c r="F250" s="14">
        <f>IF(D250="","",IF(C250="Физлицо",0.04,0.06))</f>
        <v/>
      </c>
      <c r="G250" s="15">
        <f>IF(D250="","",MIN(MAX(Старт!$B$6-SUM(G$1:G249),0),D250*IF(C250="Физлицо",0.01,0.02)))</f>
        <v/>
      </c>
      <c r="H250" s="15">
        <f>IF(D250="","",D250*F250-G250)</f>
        <v/>
      </c>
      <c r="I250" s="16">
        <f>IF(A250="","",YEAR(A250))</f>
        <v/>
      </c>
      <c r="J250" s="16">
        <f>IF(A250="","",MONTH(A250))</f>
        <v/>
      </c>
    </row>
    <row r="251">
      <c r="A251" s="11" t="n"/>
      <c r="B251" s="12" t="n"/>
      <c r="C251" s="12" t="n"/>
      <c r="D251" s="13" t="n"/>
      <c r="E251" s="12" t="n"/>
      <c r="F251" s="14">
        <f>IF(D251="","",IF(C251="Физлицо",0.04,0.06))</f>
        <v/>
      </c>
      <c r="G251" s="15">
        <f>IF(D251="","",MIN(MAX(Старт!$B$6-SUM(G$1:G250),0),D251*IF(C251="Физлицо",0.01,0.02)))</f>
        <v/>
      </c>
      <c r="H251" s="15">
        <f>IF(D251="","",D251*F251-G251)</f>
        <v/>
      </c>
      <c r="I251" s="16">
        <f>IF(A251="","",YEAR(A251))</f>
        <v/>
      </c>
      <c r="J251" s="16">
        <f>IF(A251="","",MONTH(A251))</f>
        <v/>
      </c>
    </row>
    <row r="252">
      <c r="A252" s="11" t="n"/>
      <c r="B252" s="12" t="n"/>
      <c r="C252" s="12" t="n"/>
      <c r="D252" s="13" t="n"/>
      <c r="E252" s="12" t="n"/>
      <c r="F252" s="14">
        <f>IF(D252="","",IF(C252="Физлицо",0.04,0.06))</f>
        <v/>
      </c>
      <c r="G252" s="15">
        <f>IF(D252="","",MIN(MAX(Старт!$B$6-SUM(G$1:G251),0),D252*IF(C252="Физлицо",0.01,0.02)))</f>
        <v/>
      </c>
      <c r="H252" s="15">
        <f>IF(D252="","",D252*F252-G252)</f>
        <v/>
      </c>
      <c r="I252" s="16">
        <f>IF(A252="","",YEAR(A252))</f>
        <v/>
      </c>
      <c r="J252" s="16">
        <f>IF(A252="","",MONTH(A252))</f>
        <v/>
      </c>
    </row>
    <row r="253">
      <c r="A253" s="11" t="n"/>
      <c r="B253" s="12" t="n"/>
      <c r="C253" s="12" t="n"/>
      <c r="D253" s="13" t="n"/>
      <c r="E253" s="12" t="n"/>
      <c r="F253" s="14">
        <f>IF(D253="","",IF(C253="Физлицо",0.04,0.06))</f>
        <v/>
      </c>
      <c r="G253" s="15">
        <f>IF(D253="","",MIN(MAX(Старт!$B$6-SUM(G$1:G252),0),D253*IF(C253="Физлицо",0.01,0.02)))</f>
        <v/>
      </c>
      <c r="H253" s="15">
        <f>IF(D253="","",D253*F253-G253)</f>
        <v/>
      </c>
      <c r="I253" s="16">
        <f>IF(A253="","",YEAR(A253))</f>
        <v/>
      </c>
      <c r="J253" s="16">
        <f>IF(A253="","",MONTH(A253))</f>
        <v/>
      </c>
    </row>
    <row r="254">
      <c r="A254" s="11" t="n"/>
      <c r="B254" s="12" t="n"/>
      <c r="C254" s="12" t="n"/>
      <c r="D254" s="13" t="n"/>
      <c r="E254" s="12" t="n"/>
      <c r="F254" s="14">
        <f>IF(D254="","",IF(C254="Физлицо",0.04,0.06))</f>
        <v/>
      </c>
      <c r="G254" s="15">
        <f>IF(D254="","",MIN(MAX(Старт!$B$6-SUM(G$1:G253),0),D254*IF(C254="Физлицо",0.01,0.02)))</f>
        <v/>
      </c>
      <c r="H254" s="15">
        <f>IF(D254="","",D254*F254-G254)</f>
        <v/>
      </c>
      <c r="I254" s="16">
        <f>IF(A254="","",YEAR(A254))</f>
        <v/>
      </c>
      <c r="J254" s="16">
        <f>IF(A254="","",MONTH(A254))</f>
        <v/>
      </c>
    </row>
    <row r="255">
      <c r="A255" s="11" t="n"/>
      <c r="B255" s="12" t="n"/>
      <c r="C255" s="12" t="n"/>
      <c r="D255" s="13" t="n"/>
      <c r="E255" s="12" t="n"/>
      <c r="F255" s="14">
        <f>IF(D255="","",IF(C255="Физлицо",0.04,0.06))</f>
        <v/>
      </c>
      <c r="G255" s="15">
        <f>IF(D255="","",MIN(MAX(Старт!$B$6-SUM(G$1:G254),0),D255*IF(C255="Физлицо",0.01,0.02)))</f>
        <v/>
      </c>
      <c r="H255" s="15">
        <f>IF(D255="","",D255*F255-G255)</f>
        <v/>
      </c>
      <c r="I255" s="16">
        <f>IF(A255="","",YEAR(A255))</f>
        <v/>
      </c>
      <c r="J255" s="16">
        <f>IF(A255="","",MONTH(A255))</f>
        <v/>
      </c>
    </row>
    <row r="256">
      <c r="A256" s="11" t="n"/>
      <c r="B256" s="12" t="n"/>
      <c r="C256" s="12" t="n"/>
      <c r="D256" s="13" t="n"/>
      <c r="E256" s="12" t="n"/>
      <c r="F256" s="14">
        <f>IF(D256="","",IF(C256="Физлицо",0.04,0.06))</f>
        <v/>
      </c>
      <c r="G256" s="15">
        <f>IF(D256="","",MIN(MAX(Старт!$B$6-SUM(G$1:G255),0),D256*IF(C256="Физлицо",0.01,0.02)))</f>
        <v/>
      </c>
      <c r="H256" s="15">
        <f>IF(D256="","",D256*F256-G256)</f>
        <v/>
      </c>
      <c r="I256" s="16">
        <f>IF(A256="","",YEAR(A256))</f>
        <v/>
      </c>
      <c r="J256" s="16">
        <f>IF(A256="","",MONTH(A256))</f>
        <v/>
      </c>
    </row>
    <row r="257">
      <c r="A257" s="11" t="n"/>
      <c r="B257" s="12" t="n"/>
      <c r="C257" s="12" t="n"/>
      <c r="D257" s="13" t="n"/>
      <c r="E257" s="12" t="n"/>
      <c r="F257" s="14">
        <f>IF(D257="","",IF(C257="Физлицо",0.04,0.06))</f>
        <v/>
      </c>
      <c r="G257" s="15">
        <f>IF(D257="","",MIN(MAX(Старт!$B$6-SUM(G$1:G256),0),D257*IF(C257="Физлицо",0.01,0.02)))</f>
        <v/>
      </c>
      <c r="H257" s="15">
        <f>IF(D257="","",D257*F257-G257)</f>
        <v/>
      </c>
      <c r="I257" s="16">
        <f>IF(A257="","",YEAR(A257))</f>
        <v/>
      </c>
      <c r="J257" s="16">
        <f>IF(A257="","",MONTH(A257))</f>
        <v/>
      </c>
    </row>
    <row r="258">
      <c r="A258" s="11" t="n"/>
      <c r="B258" s="12" t="n"/>
      <c r="C258" s="12" t="n"/>
      <c r="D258" s="13" t="n"/>
      <c r="E258" s="12" t="n"/>
      <c r="F258" s="14">
        <f>IF(D258="","",IF(C258="Физлицо",0.04,0.06))</f>
        <v/>
      </c>
      <c r="G258" s="15">
        <f>IF(D258="","",MIN(MAX(Старт!$B$6-SUM(G$1:G257),0),D258*IF(C258="Физлицо",0.01,0.02)))</f>
        <v/>
      </c>
      <c r="H258" s="15">
        <f>IF(D258="","",D258*F258-G258)</f>
        <v/>
      </c>
      <c r="I258" s="16">
        <f>IF(A258="","",YEAR(A258))</f>
        <v/>
      </c>
      <c r="J258" s="16">
        <f>IF(A258="","",MONTH(A258))</f>
        <v/>
      </c>
    </row>
    <row r="259">
      <c r="A259" s="11" t="n"/>
      <c r="B259" s="12" t="n"/>
      <c r="C259" s="12" t="n"/>
      <c r="D259" s="13" t="n"/>
      <c r="E259" s="12" t="n"/>
      <c r="F259" s="14">
        <f>IF(D259="","",IF(C259="Физлицо",0.04,0.06))</f>
        <v/>
      </c>
      <c r="G259" s="15">
        <f>IF(D259="","",MIN(MAX(Старт!$B$6-SUM(G$1:G258),0),D259*IF(C259="Физлицо",0.01,0.02)))</f>
        <v/>
      </c>
      <c r="H259" s="15">
        <f>IF(D259="","",D259*F259-G259)</f>
        <v/>
      </c>
      <c r="I259" s="16">
        <f>IF(A259="","",YEAR(A259))</f>
        <v/>
      </c>
      <c r="J259" s="16">
        <f>IF(A259="","",MONTH(A259))</f>
        <v/>
      </c>
    </row>
    <row r="260">
      <c r="A260" s="11" t="n"/>
      <c r="B260" s="12" t="n"/>
      <c r="C260" s="12" t="n"/>
      <c r="D260" s="13" t="n"/>
      <c r="E260" s="12" t="n"/>
      <c r="F260" s="14">
        <f>IF(D260="","",IF(C260="Физлицо",0.04,0.06))</f>
        <v/>
      </c>
      <c r="G260" s="15">
        <f>IF(D260="","",MIN(MAX(Старт!$B$6-SUM(G$1:G259),0),D260*IF(C260="Физлицо",0.01,0.02)))</f>
        <v/>
      </c>
      <c r="H260" s="15">
        <f>IF(D260="","",D260*F260-G260)</f>
        <v/>
      </c>
      <c r="I260" s="16">
        <f>IF(A260="","",YEAR(A260))</f>
        <v/>
      </c>
      <c r="J260" s="16">
        <f>IF(A260="","",MONTH(A260))</f>
        <v/>
      </c>
    </row>
    <row r="261">
      <c r="A261" s="11" t="n"/>
      <c r="B261" s="12" t="n"/>
      <c r="C261" s="12" t="n"/>
      <c r="D261" s="13" t="n"/>
      <c r="E261" s="12" t="n"/>
      <c r="F261" s="14">
        <f>IF(D261="","",IF(C261="Физлицо",0.04,0.06))</f>
        <v/>
      </c>
      <c r="G261" s="15">
        <f>IF(D261="","",MIN(MAX(Старт!$B$6-SUM(G$1:G260),0),D261*IF(C261="Физлицо",0.01,0.02)))</f>
        <v/>
      </c>
      <c r="H261" s="15">
        <f>IF(D261="","",D261*F261-G261)</f>
        <v/>
      </c>
      <c r="I261" s="16">
        <f>IF(A261="","",YEAR(A261))</f>
        <v/>
      </c>
      <c r="J261" s="16">
        <f>IF(A261="","",MONTH(A261))</f>
        <v/>
      </c>
    </row>
    <row r="262">
      <c r="A262" s="11" t="n"/>
      <c r="B262" s="12" t="n"/>
      <c r="C262" s="12" t="n"/>
      <c r="D262" s="13" t="n"/>
      <c r="E262" s="12" t="n"/>
      <c r="F262" s="14">
        <f>IF(D262="","",IF(C262="Физлицо",0.04,0.06))</f>
        <v/>
      </c>
      <c r="G262" s="15">
        <f>IF(D262="","",MIN(MAX(Старт!$B$6-SUM(G$1:G261),0),D262*IF(C262="Физлицо",0.01,0.02)))</f>
        <v/>
      </c>
      <c r="H262" s="15">
        <f>IF(D262="","",D262*F262-G262)</f>
        <v/>
      </c>
      <c r="I262" s="16">
        <f>IF(A262="","",YEAR(A262))</f>
        <v/>
      </c>
      <c r="J262" s="16">
        <f>IF(A262="","",MONTH(A262))</f>
        <v/>
      </c>
    </row>
    <row r="263">
      <c r="A263" s="11" t="n"/>
      <c r="B263" s="12" t="n"/>
      <c r="C263" s="12" t="n"/>
      <c r="D263" s="13" t="n"/>
      <c r="E263" s="12" t="n"/>
      <c r="F263" s="14">
        <f>IF(D263="","",IF(C263="Физлицо",0.04,0.06))</f>
        <v/>
      </c>
      <c r="G263" s="15">
        <f>IF(D263="","",MIN(MAX(Старт!$B$6-SUM(G$1:G262),0),D263*IF(C263="Физлицо",0.01,0.02)))</f>
        <v/>
      </c>
      <c r="H263" s="15">
        <f>IF(D263="","",D263*F263-G263)</f>
        <v/>
      </c>
      <c r="I263" s="16">
        <f>IF(A263="","",YEAR(A263))</f>
        <v/>
      </c>
      <c r="J263" s="16">
        <f>IF(A263="","",MONTH(A263))</f>
        <v/>
      </c>
    </row>
    <row r="264">
      <c r="A264" s="11" t="n"/>
      <c r="B264" s="12" t="n"/>
      <c r="C264" s="12" t="n"/>
      <c r="D264" s="13" t="n"/>
      <c r="E264" s="12" t="n"/>
      <c r="F264" s="14">
        <f>IF(D264="","",IF(C264="Физлицо",0.04,0.06))</f>
        <v/>
      </c>
      <c r="G264" s="15">
        <f>IF(D264="","",MIN(MAX(Старт!$B$6-SUM(G$1:G263),0),D264*IF(C264="Физлицо",0.01,0.02)))</f>
        <v/>
      </c>
      <c r="H264" s="15">
        <f>IF(D264="","",D264*F264-G264)</f>
        <v/>
      </c>
      <c r="I264" s="16">
        <f>IF(A264="","",YEAR(A264))</f>
        <v/>
      </c>
      <c r="J264" s="16">
        <f>IF(A264="","",MONTH(A264))</f>
        <v/>
      </c>
    </row>
    <row r="265">
      <c r="A265" s="11" t="n"/>
      <c r="B265" s="12" t="n"/>
      <c r="C265" s="12" t="n"/>
      <c r="D265" s="13" t="n"/>
      <c r="E265" s="12" t="n"/>
      <c r="F265" s="14">
        <f>IF(D265="","",IF(C265="Физлицо",0.04,0.06))</f>
        <v/>
      </c>
      <c r="G265" s="15">
        <f>IF(D265="","",MIN(MAX(Старт!$B$6-SUM(G$1:G264),0),D265*IF(C265="Физлицо",0.01,0.02)))</f>
        <v/>
      </c>
      <c r="H265" s="15">
        <f>IF(D265="","",D265*F265-G265)</f>
        <v/>
      </c>
      <c r="I265" s="16">
        <f>IF(A265="","",YEAR(A265))</f>
        <v/>
      </c>
      <c r="J265" s="16">
        <f>IF(A265="","",MONTH(A265))</f>
        <v/>
      </c>
    </row>
    <row r="266">
      <c r="A266" s="11" t="n"/>
      <c r="B266" s="12" t="n"/>
      <c r="C266" s="12" t="n"/>
      <c r="D266" s="13" t="n"/>
      <c r="E266" s="12" t="n"/>
      <c r="F266" s="14">
        <f>IF(D266="","",IF(C266="Физлицо",0.04,0.06))</f>
        <v/>
      </c>
      <c r="G266" s="15">
        <f>IF(D266="","",MIN(MAX(Старт!$B$6-SUM(G$1:G265),0),D266*IF(C266="Физлицо",0.01,0.02)))</f>
        <v/>
      </c>
      <c r="H266" s="15">
        <f>IF(D266="","",D266*F266-G266)</f>
        <v/>
      </c>
      <c r="I266" s="16">
        <f>IF(A266="","",YEAR(A266))</f>
        <v/>
      </c>
      <c r="J266" s="16">
        <f>IF(A266="","",MONTH(A266))</f>
        <v/>
      </c>
    </row>
    <row r="267">
      <c r="A267" s="11" t="n"/>
      <c r="B267" s="12" t="n"/>
      <c r="C267" s="12" t="n"/>
      <c r="D267" s="13" t="n"/>
      <c r="E267" s="12" t="n"/>
      <c r="F267" s="14">
        <f>IF(D267="","",IF(C267="Физлицо",0.04,0.06))</f>
        <v/>
      </c>
      <c r="G267" s="15">
        <f>IF(D267="","",MIN(MAX(Старт!$B$6-SUM(G$1:G266),0),D267*IF(C267="Физлицо",0.01,0.02)))</f>
        <v/>
      </c>
      <c r="H267" s="15">
        <f>IF(D267="","",D267*F267-G267)</f>
        <v/>
      </c>
      <c r="I267" s="16">
        <f>IF(A267="","",YEAR(A267))</f>
        <v/>
      </c>
      <c r="J267" s="16">
        <f>IF(A267="","",MONTH(A267))</f>
        <v/>
      </c>
    </row>
    <row r="268">
      <c r="A268" s="11" t="n"/>
      <c r="B268" s="12" t="n"/>
      <c r="C268" s="12" t="n"/>
      <c r="D268" s="13" t="n"/>
      <c r="E268" s="12" t="n"/>
      <c r="F268" s="14">
        <f>IF(D268="","",IF(C268="Физлицо",0.04,0.06))</f>
        <v/>
      </c>
      <c r="G268" s="15">
        <f>IF(D268="","",MIN(MAX(Старт!$B$6-SUM(G$1:G267),0),D268*IF(C268="Физлицо",0.01,0.02)))</f>
        <v/>
      </c>
      <c r="H268" s="15">
        <f>IF(D268="","",D268*F268-G268)</f>
        <v/>
      </c>
      <c r="I268" s="16">
        <f>IF(A268="","",YEAR(A268))</f>
        <v/>
      </c>
      <c r="J268" s="16">
        <f>IF(A268="","",MONTH(A268))</f>
        <v/>
      </c>
    </row>
    <row r="269">
      <c r="A269" s="11" t="n"/>
      <c r="B269" s="12" t="n"/>
      <c r="C269" s="12" t="n"/>
      <c r="D269" s="13" t="n"/>
      <c r="E269" s="12" t="n"/>
      <c r="F269" s="14">
        <f>IF(D269="","",IF(C269="Физлицо",0.04,0.06))</f>
        <v/>
      </c>
      <c r="G269" s="15">
        <f>IF(D269="","",MIN(MAX(Старт!$B$6-SUM(G$1:G268),0),D269*IF(C269="Физлицо",0.01,0.02)))</f>
        <v/>
      </c>
      <c r="H269" s="15">
        <f>IF(D269="","",D269*F269-G269)</f>
        <v/>
      </c>
      <c r="I269" s="16">
        <f>IF(A269="","",YEAR(A269))</f>
        <v/>
      </c>
      <c r="J269" s="16">
        <f>IF(A269="","",MONTH(A269))</f>
        <v/>
      </c>
    </row>
    <row r="270">
      <c r="A270" s="11" t="n"/>
      <c r="B270" s="12" t="n"/>
      <c r="C270" s="12" t="n"/>
      <c r="D270" s="13" t="n"/>
      <c r="E270" s="12" t="n"/>
      <c r="F270" s="14">
        <f>IF(D270="","",IF(C270="Физлицо",0.04,0.06))</f>
        <v/>
      </c>
      <c r="G270" s="15">
        <f>IF(D270="","",MIN(MAX(Старт!$B$6-SUM(G$1:G269),0),D270*IF(C270="Физлицо",0.01,0.02)))</f>
        <v/>
      </c>
      <c r="H270" s="15">
        <f>IF(D270="","",D270*F270-G270)</f>
        <v/>
      </c>
      <c r="I270" s="16">
        <f>IF(A270="","",YEAR(A270))</f>
        <v/>
      </c>
      <c r="J270" s="16">
        <f>IF(A270="","",MONTH(A270))</f>
        <v/>
      </c>
    </row>
    <row r="271">
      <c r="A271" s="11" t="n"/>
      <c r="B271" s="12" t="n"/>
      <c r="C271" s="12" t="n"/>
      <c r="D271" s="13" t="n"/>
      <c r="E271" s="12" t="n"/>
      <c r="F271" s="14">
        <f>IF(D271="","",IF(C271="Физлицо",0.04,0.06))</f>
        <v/>
      </c>
      <c r="G271" s="15">
        <f>IF(D271="","",MIN(MAX(Старт!$B$6-SUM(G$1:G270),0),D271*IF(C271="Физлицо",0.01,0.02)))</f>
        <v/>
      </c>
      <c r="H271" s="15">
        <f>IF(D271="","",D271*F271-G271)</f>
        <v/>
      </c>
      <c r="I271" s="16">
        <f>IF(A271="","",YEAR(A271))</f>
        <v/>
      </c>
      <c r="J271" s="16">
        <f>IF(A271="","",MONTH(A271))</f>
        <v/>
      </c>
    </row>
    <row r="272">
      <c r="A272" s="11" t="n"/>
      <c r="B272" s="12" t="n"/>
      <c r="C272" s="12" t="n"/>
      <c r="D272" s="13" t="n"/>
      <c r="E272" s="12" t="n"/>
      <c r="F272" s="14">
        <f>IF(D272="","",IF(C272="Физлицо",0.04,0.06))</f>
        <v/>
      </c>
      <c r="G272" s="15">
        <f>IF(D272="","",MIN(MAX(Старт!$B$6-SUM(G$1:G271),0),D272*IF(C272="Физлицо",0.01,0.02)))</f>
        <v/>
      </c>
      <c r="H272" s="15">
        <f>IF(D272="","",D272*F272-G272)</f>
        <v/>
      </c>
      <c r="I272" s="16">
        <f>IF(A272="","",YEAR(A272))</f>
        <v/>
      </c>
      <c r="J272" s="16">
        <f>IF(A272="","",MONTH(A272))</f>
        <v/>
      </c>
    </row>
    <row r="273">
      <c r="A273" s="11" t="n"/>
      <c r="B273" s="12" t="n"/>
      <c r="C273" s="12" t="n"/>
      <c r="D273" s="13" t="n"/>
      <c r="E273" s="12" t="n"/>
      <c r="F273" s="14">
        <f>IF(D273="","",IF(C273="Физлицо",0.04,0.06))</f>
        <v/>
      </c>
      <c r="G273" s="15">
        <f>IF(D273="","",MIN(MAX(Старт!$B$6-SUM(G$1:G272),0),D273*IF(C273="Физлицо",0.01,0.02)))</f>
        <v/>
      </c>
      <c r="H273" s="15">
        <f>IF(D273="","",D273*F273-G273)</f>
        <v/>
      </c>
      <c r="I273" s="16">
        <f>IF(A273="","",YEAR(A273))</f>
        <v/>
      </c>
      <c r="J273" s="16">
        <f>IF(A273="","",MONTH(A273))</f>
        <v/>
      </c>
    </row>
    <row r="274">
      <c r="A274" s="11" t="n"/>
      <c r="B274" s="12" t="n"/>
      <c r="C274" s="12" t="n"/>
      <c r="D274" s="13" t="n"/>
      <c r="E274" s="12" t="n"/>
      <c r="F274" s="14">
        <f>IF(D274="","",IF(C274="Физлицо",0.04,0.06))</f>
        <v/>
      </c>
      <c r="G274" s="15">
        <f>IF(D274="","",MIN(MAX(Старт!$B$6-SUM(G$1:G273),0),D274*IF(C274="Физлицо",0.01,0.02)))</f>
        <v/>
      </c>
      <c r="H274" s="15">
        <f>IF(D274="","",D274*F274-G274)</f>
        <v/>
      </c>
      <c r="I274" s="16">
        <f>IF(A274="","",YEAR(A274))</f>
        <v/>
      </c>
      <c r="J274" s="16">
        <f>IF(A274="","",MONTH(A274))</f>
        <v/>
      </c>
    </row>
    <row r="275">
      <c r="A275" s="11" t="n"/>
      <c r="B275" s="12" t="n"/>
      <c r="C275" s="12" t="n"/>
      <c r="D275" s="13" t="n"/>
      <c r="E275" s="12" t="n"/>
      <c r="F275" s="14">
        <f>IF(D275="","",IF(C275="Физлицо",0.04,0.06))</f>
        <v/>
      </c>
      <c r="G275" s="15">
        <f>IF(D275="","",MIN(MAX(Старт!$B$6-SUM(G$1:G274),0),D275*IF(C275="Физлицо",0.01,0.02)))</f>
        <v/>
      </c>
      <c r="H275" s="15">
        <f>IF(D275="","",D275*F275-G275)</f>
        <v/>
      </c>
      <c r="I275" s="16">
        <f>IF(A275="","",YEAR(A275))</f>
        <v/>
      </c>
      <c r="J275" s="16">
        <f>IF(A275="","",MONTH(A275))</f>
        <v/>
      </c>
    </row>
    <row r="276">
      <c r="A276" s="11" t="n"/>
      <c r="B276" s="12" t="n"/>
      <c r="C276" s="12" t="n"/>
      <c r="D276" s="13" t="n"/>
      <c r="E276" s="12" t="n"/>
      <c r="F276" s="14">
        <f>IF(D276="","",IF(C276="Физлицо",0.04,0.06))</f>
        <v/>
      </c>
      <c r="G276" s="15">
        <f>IF(D276="","",MIN(MAX(Старт!$B$6-SUM(G$1:G275),0),D276*IF(C276="Физлицо",0.01,0.02)))</f>
        <v/>
      </c>
      <c r="H276" s="15">
        <f>IF(D276="","",D276*F276-G276)</f>
        <v/>
      </c>
      <c r="I276" s="16">
        <f>IF(A276="","",YEAR(A276))</f>
        <v/>
      </c>
      <c r="J276" s="16">
        <f>IF(A276="","",MONTH(A276))</f>
        <v/>
      </c>
    </row>
    <row r="277">
      <c r="A277" s="11" t="n"/>
      <c r="B277" s="12" t="n"/>
      <c r="C277" s="12" t="n"/>
      <c r="D277" s="13" t="n"/>
      <c r="E277" s="12" t="n"/>
      <c r="F277" s="14">
        <f>IF(D277="","",IF(C277="Физлицо",0.04,0.06))</f>
        <v/>
      </c>
      <c r="G277" s="15">
        <f>IF(D277="","",MIN(MAX(Старт!$B$6-SUM(G$1:G276),0),D277*IF(C277="Физлицо",0.01,0.02)))</f>
        <v/>
      </c>
      <c r="H277" s="15">
        <f>IF(D277="","",D277*F277-G277)</f>
        <v/>
      </c>
      <c r="I277" s="16">
        <f>IF(A277="","",YEAR(A277))</f>
        <v/>
      </c>
      <c r="J277" s="16">
        <f>IF(A277="","",MONTH(A277))</f>
        <v/>
      </c>
    </row>
    <row r="278">
      <c r="A278" s="11" t="n"/>
      <c r="B278" s="12" t="n"/>
      <c r="C278" s="12" t="n"/>
      <c r="D278" s="13" t="n"/>
      <c r="E278" s="12" t="n"/>
      <c r="F278" s="14">
        <f>IF(D278="","",IF(C278="Физлицо",0.04,0.06))</f>
        <v/>
      </c>
      <c r="G278" s="15">
        <f>IF(D278="","",MIN(MAX(Старт!$B$6-SUM(G$1:G277),0),D278*IF(C278="Физлицо",0.01,0.02)))</f>
        <v/>
      </c>
      <c r="H278" s="15">
        <f>IF(D278="","",D278*F278-G278)</f>
        <v/>
      </c>
      <c r="I278" s="16">
        <f>IF(A278="","",YEAR(A278))</f>
        <v/>
      </c>
      <c r="J278" s="16">
        <f>IF(A278="","",MONTH(A278))</f>
        <v/>
      </c>
    </row>
    <row r="279">
      <c r="A279" s="11" t="n"/>
      <c r="B279" s="12" t="n"/>
      <c r="C279" s="12" t="n"/>
      <c r="D279" s="13" t="n"/>
      <c r="E279" s="12" t="n"/>
      <c r="F279" s="14">
        <f>IF(D279="","",IF(C279="Физлицо",0.04,0.06))</f>
        <v/>
      </c>
      <c r="G279" s="15">
        <f>IF(D279="","",MIN(MAX(Старт!$B$6-SUM(G$1:G278),0),D279*IF(C279="Физлицо",0.01,0.02)))</f>
        <v/>
      </c>
      <c r="H279" s="15">
        <f>IF(D279="","",D279*F279-G279)</f>
        <v/>
      </c>
      <c r="I279" s="16">
        <f>IF(A279="","",YEAR(A279))</f>
        <v/>
      </c>
      <c r="J279" s="16">
        <f>IF(A279="","",MONTH(A279))</f>
        <v/>
      </c>
    </row>
    <row r="280">
      <c r="A280" s="11" t="n"/>
      <c r="B280" s="12" t="n"/>
      <c r="C280" s="12" t="n"/>
      <c r="D280" s="13" t="n"/>
      <c r="E280" s="12" t="n"/>
      <c r="F280" s="14">
        <f>IF(D280="","",IF(C280="Физлицо",0.04,0.06))</f>
        <v/>
      </c>
      <c r="G280" s="15">
        <f>IF(D280="","",MIN(MAX(Старт!$B$6-SUM(G$1:G279),0),D280*IF(C280="Физлицо",0.01,0.02)))</f>
        <v/>
      </c>
      <c r="H280" s="15">
        <f>IF(D280="","",D280*F280-G280)</f>
        <v/>
      </c>
      <c r="I280" s="16">
        <f>IF(A280="","",YEAR(A280))</f>
        <v/>
      </c>
      <c r="J280" s="16">
        <f>IF(A280="","",MONTH(A280))</f>
        <v/>
      </c>
    </row>
    <row r="281">
      <c r="A281" s="11" t="n"/>
      <c r="B281" s="12" t="n"/>
      <c r="C281" s="12" t="n"/>
      <c r="D281" s="13" t="n"/>
      <c r="E281" s="12" t="n"/>
      <c r="F281" s="14">
        <f>IF(D281="","",IF(C281="Физлицо",0.04,0.06))</f>
        <v/>
      </c>
      <c r="G281" s="15">
        <f>IF(D281="","",MIN(MAX(Старт!$B$6-SUM(G$1:G280),0),D281*IF(C281="Физлицо",0.01,0.02)))</f>
        <v/>
      </c>
      <c r="H281" s="15">
        <f>IF(D281="","",D281*F281-G281)</f>
        <v/>
      </c>
      <c r="I281" s="16">
        <f>IF(A281="","",YEAR(A281))</f>
        <v/>
      </c>
      <c r="J281" s="16">
        <f>IF(A281="","",MONTH(A281))</f>
        <v/>
      </c>
    </row>
    <row r="282">
      <c r="A282" s="11" t="n"/>
      <c r="B282" s="12" t="n"/>
      <c r="C282" s="12" t="n"/>
      <c r="D282" s="13" t="n"/>
      <c r="E282" s="12" t="n"/>
      <c r="F282" s="14">
        <f>IF(D282="","",IF(C282="Физлицо",0.04,0.06))</f>
        <v/>
      </c>
      <c r="G282" s="15">
        <f>IF(D282="","",MIN(MAX(Старт!$B$6-SUM(G$1:G281),0),D282*IF(C282="Физлицо",0.01,0.02)))</f>
        <v/>
      </c>
      <c r="H282" s="15">
        <f>IF(D282="","",D282*F282-G282)</f>
        <v/>
      </c>
      <c r="I282" s="16">
        <f>IF(A282="","",YEAR(A282))</f>
        <v/>
      </c>
      <c r="J282" s="16">
        <f>IF(A282="","",MONTH(A282))</f>
        <v/>
      </c>
    </row>
    <row r="283">
      <c r="A283" s="11" t="n"/>
      <c r="B283" s="12" t="n"/>
      <c r="C283" s="12" t="n"/>
      <c r="D283" s="13" t="n"/>
      <c r="E283" s="12" t="n"/>
      <c r="F283" s="14">
        <f>IF(D283="","",IF(C283="Физлицо",0.04,0.06))</f>
        <v/>
      </c>
      <c r="G283" s="15">
        <f>IF(D283="","",MIN(MAX(Старт!$B$6-SUM(G$1:G282),0),D283*IF(C283="Физлицо",0.01,0.02)))</f>
        <v/>
      </c>
      <c r="H283" s="15">
        <f>IF(D283="","",D283*F283-G283)</f>
        <v/>
      </c>
      <c r="I283" s="16">
        <f>IF(A283="","",YEAR(A283))</f>
        <v/>
      </c>
      <c r="J283" s="16">
        <f>IF(A283="","",MONTH(A283))</f>
        <v/>
      </c>
    </row>
    <row r="284">
      <c r="A284" s="11" t="n"/>
      <c r="B284" s="12" t="n"/>
      <c r="C284" s="12" t="n"/>
      <c r="D284" s="13" t="n"/>
      <c r="E284" s="12" t="n"/>
      <c r="F284" s="14">
        <f>IF(D284="","",IF(C284="Физлицо",0.04,0.06))</f>
        <v/>
      </c>
      <c r="G284" s="15">
        <f>IF(D284="","",MIN(MAX(Старт!$B$6-SUM(G$1:G283),0),D284*IF(C284="Физлицо",0.01,0.02)))</f>
        <v/>
      </c>
      <c r="H284" s="15">
        <f>IF(D284="","",D284*F284-G284)</f>
        <v/>
      </c>
      <c r="I284" s="16">
        <f>IF(A284="","",YEAR(A284))</f>
        <v/>
      </c>
      <c r="J284" s="16">
        <f>IF(A284="","",MONTH(A284))</f>
        <v/>
      </c>
    </row>
    <row r="285">
      <c r="A285" s="11" t="n"/>
      <c r="B285" s="12" t="n"/>
      <c r="C285" s="12" t="n"/>
      <c r="D285" s="13" t="n"/>
      <c r="E285" s="12" t="n"/>
      <c r="F285" s="14">
        <f>IF(D285="","",IF(C285="Физлицо",0.04,0.06))</f>
        <v/>
      </c>
      <c r="G285" s="15">
        <f>IF(D285="","",MIN(MAX(Старт!$B$6-SUM(G$1:G284),0),D285*IF(C285="Физлицо",0.01,0.02)))</f>
        <v/>
      </c>
      <c r="H285" s="15">
        <f>IF(D285="","",D285*F285-G285)</f>
        <v/>
      </c>
      <c r="I285" s="16">
        <f>IF(A285="","",YEAR(A285))</f>
        <v/>
      </c>
      <c r="J285" s="16">
        <f>IF(A285="","",MONTH(A285))</f>
        <v/>
      </c>
    </row>
    <row r="286">
      <c r="A286" s="11" t="n"/>
      <c r="B286" s="12" t="n"/>
      <c r="C286" s="12" t="n"/>
      <c r="D286" s="13" t="n"/>
      <c r="E286" s="12" t="n"/>
      <c r="F286" s="14">
        <f>IF(D286="","",IF(C286="Физлицо",0.04,0.06))</f>
        <v/>
      </c>
      <c r="G286" s="15">
        <f>IF(D286="","",MIN(MAX(Старт!$B$6-SUM(G$1:G285),0),D286*IF(C286="Физлицо",0.01,0.02)))</f>
        <v/>
      </c>
      <c r="H286" s="15">
        <f>IF(D286="","",D286*F286-G286)</f>
        <v/>
      </c>
      <c r="I286" s="16">
        <f>IF(A286="","",YEAR(A286))</f>
        <v/>
      </c>
      <c r="J286" s="16">
        <f>IF(A286="","",MONTH(A286))</f>
        <v/>
      </c>
    </row>
    <row r="287">
      <c r="A287" s="11" t="n"/>
      <c r="B287" s="12" t="n"/>
      <c r="C287" s="12" t="n"/>
      <c r="D287" s="13" t="n"/>
      <c r="E287" s="12" t="n"/>
      <c r="F287" s="14">
        <f>IF(D287="","",IF(C287="Физлицо",0.04,0.06))</f>
        <v/>
      </c>
      <c r="G287" s="15">
        <f>IF(D287="","",MIN(MAX(Старт!$B$6-SUM(G$1:G286),0),D287*IF(C287="Физлицо",0.01,0.02)))</f>
        <v/>
      </c>
      <c r="H287" s="15">
        <f>IF(D287="","",D287*F287-G287)</f>
        <v/>
      </c>
      <c r="I287" s="16">
        <f>IF(A287="","",YEAR(A287))</f>
        <v/>
      </c>
      <c r="J287" s="16">
        <f>IF(A287="","",MONTH(A287))</f>
        <v/>
      </c>
    </row>
    <row r="288">
      <c r="A288" s="11" t="n"/>
      <c r="B288" s="12" t="n"/>
      <c r="C288" s="12" t="n"/>
      <c r="D288" s="13" t="n"/>
      <c r="E288" s="12" t="n"/>
      <c r="F288" s="14">
        <f>IF(D288="","",IF(C288="Физлицо",0.04,0.06))</f>
        <v/>
      </c>
      <c r="G288" s="15">
        <f>IF(D288="","",MIN(MAX(Старт!$B$6-SUM(G$1:G287),0),D288*IF(C288="Физлицо",0.01,0.02)))</f>
        <v/>
      </c>
      <c r="H288" s="15">
        <f>IF(D288="","",D288*F288-G288)</f>
        <v/>
      </c>
      <c r="I288" s="16">
        <f>IF(A288="","",YEAR(A288))</f>
        <v/>
      </c>
      <c r="J288" s="16">
        <f>IF(A288="","",MONTH(A288))</f>
        <v/>
      </c>
    </row>
    <row r="289">
      <c r="A289" s="11" t="n"/>
      <c r="B289" s="12" t="n"/>
      <c r="C289" s="12" t="n"/>
      <c r="D289" s="13" t="n"/>
      <c r="E289" s="12" t="n"/>
      <c r="F289" s="14">
        <f>IF(D289="","",IF(C289="Физлицо",0.04,0.06))</f>
        <v/>
      </c>
      <c r="G289" s="15">
        <f>IF(D289="","",MIN(MAX(Старт!$B$6-SUM(G$1:G288),0),D289*IF(C289="Физлицо",0.01,0.02)))</f>
        <v/>
      </c>
      <c r="H289" s="15">
        <f>IF(D289="","",D289*F289-G289)</f>
        <v/>
      </c>
      <c r="I289" s="16">
        <f>IF(A289="","",YEAR(A289))</f>
        <v/>
      </c>
      <c r="J289" s="16">
        <f>IF(A289="","",MONTH(A289))</f>
        <v/>
      </c>
    </row>
    <row r="290">
      <c r="A290" s="11" t="n"/>
      <c r="B290" s="12" t="n"/>
      <c r="C290" s="12" t="n"/>
      <c r="D290" s="13" t="n"/>
      <c r="E290" s="12" t="n"/>
      <c r="F290" s="14">
        <f>IF(D290="","",IF(C290="Физлицо",0.04,0.06))</f>
        <v/>
      </c>
      <c r="G290" s="15">
        <f>IF(D290="","",MIN(MAX(Старт!$B$6-SUM(G$1:G289),0),D290*IF(C290="Физлицо",0.01,0.02)))</f>
        <v/>
      </c>
      <c r="H290" s="15">
        <f>IF(D290="","",D290*F290-G290)</f>
        <v/>
      </c>
      <c r="I290" s="16">
        <f>IF(A290="","",YEAR(A290))</f>
        <v/>
      </c>
      <c r="J290" s="16">
        <f>IF(A290="","",MONTH(A290))</f>
        <v/>
      </c>
    </row>
    <row r="291">
      <c r="A291" s="11" t="n"/>
      <c r="B291" s="12" t="n"/>
      <c r="C291" s="12" t="n"/>
      <c r="D291" s="13" t="n"/>
      <c r="E291" s="12" t="n"/>
      <c r="F291" s="14">
        <f>IF(D291="","",IF(C291="Физлицо",0.04,0.06))</f>
        <v/>
      </c>
      <c r="G291" s="15">
        <f>IF(D291="","",MIN(MAX(Старт!$B$6-SUM(G$1:G290),0),D291*IF(C291="Физлицо",0.01,0.02)))</f>
        <v/>
      </c>
      <c r="H291" s="15">
        <f>IF(D291="","",D291*F291-G291)</f>
        <v/>
      </c>
      <c r="I291" s="16">
        <f>IF(A291="","",YEAR(A291))</f>
        <v/>
      </c>
      <c r="J291" s="16">
        <f>IF(A291="","",MONTH(A291))</f>
        <v/>
      </c>
    </row>
    <row r="292">
      <c r="A292" s="11" t="n"/>
      <c r="B292" s="12" t="n"/>
      <c r="C292" s="12" t="n"/>
      <c r="D292" s="13" t="n"/>
      <c r="E292" s="12" t="n"/>
      <c r="F292" s="14">
        <f>IF(D292="","",IF(C292="Физлицо",0.04,0.06))</f>
        <v/>
      </c>
      <c r="G292" s="15">
        <f>IF(D292="","",MIN(MAX(Старт!$B$6-SUM(G$1:G291),0),D292*IF(C292="Физлицо",0.01,0.02)))</f>
        <v/>
      </c>
      <c r="H292" s="15">
        <f>IF(D292="","",D292*F292-G292)</f>
        <v/>
      </c>
      <c r="I292" s="16">
        <f>IF(A292="","",YEAR(A292))</f>
        <v/>
      </c>
      <c r="J292" s="16">
        <f>IF(A292="","",MONTH(A292))</f>
        <v/>
      </c>
    </row>
    <row r="293">
      <c r="A293" s="11" t="n"/>
      <c r="B293" s="12" t="n"/>
      <c r="C293" s="12" t="n"/>
      <c r="D293" s="13" t="n"/>
      <c r="E293" s="12" t="n"/>
      <c r="F293" s="14">
        <f>IF(D293="","",IF(C293="Физлицо",0.04,0.06))</f>
        <v/>
      </c>
      <c r="G293" s="15">
        <f>IF(D293="","",MIN(MAX(Старт!$B$6-SUM(G$1:G292),0),D293*IF(C293="Физлицо",0.01,0.02)))</f>
        <v/>
      </c>
      <c r="H293" s="15">
        <f>IF(D293="","",D293*F293-G293)</f>
        <v/>
      </c>
      <c r="I293" s="16">
        <f>IF(A293="","",YEAR(A293))</f>
        <v/>
      </c>
      <c r="J293" s="16">
        <f>IF(A293="","",MONTH(A293))</f>
        <v/>
      </c>
    </row>
    <row r="294">
      <c r="A294" s="11" t="n"/>
      <c r="B294" s="12" t="n"/>
      <c r="C294" s="12" t="n"/>
      <c r="D294" s="13" t="n"/>
      <c r="E294" s="12" t="n"/>
      <c r="F294" s="14">
        <f>IF(D294="","",IF(C294="Физлицо",0.04,0.06))</f>
        <v/>
      </c>
      <c r="G294" s="15">
        <f>IF(D294="","",MIN(MAX(Старт!$B$6-SUM(G$1:G293),0),D294*IF(C294="Физлицо",0.01,0.02)))</f>
        <v/>
      </c>
      <c r="H294" s="15">
        <f>IF(D294="","",D294*F294-G294)</f>
        <v/>
      </c>
      <c r="I294" s="16">
        <f>IF(A294="","",YEAR(A294))</f>
        <v/>
      </c>
      <c r="J294" s="16">
        <f>IF(A294="","",MONTH(A294))</f>
        <v/>
      </c>
    </row>
    <row r="295">
      <c r="A295" s="11" t="n"/>
      <c r="B295" s="12" t="n"/>
      <c r="C295" s="12" t="n"/>
      <c r="D295" s="13" t="n"/>
      <c r="E295" s="12" t="n"/>
      <c r="F295" s="14">
        <f>IF(D295="","",IF(C295="Физлицо",0.04,0.06))</f>
        <v/>
      </c>
      <c r="G295" s="15">
        <f>IF(D295="","",MIN(MAX(Старт!$B$6-SUM(G$1:G294),0),D295*IF(C295="Физлицо",0.01,0.02)))</f>
        <v/>
      </c>
      <c r="H295" s="15">
        <f>IF(D295="","",D295*F295-G295)</f>
        <v/>
      </c>
      <c r="I295" s="16">
        <f>IF(A295="","",YEAR(A295))</f>
        <v/>
      </c>
      <c r="J295" s="16">
        <f>IF(A295="","",MONTH(A295))</f>
        <v/>
      </c>
    </row>
    <row r="296">
      <c r="A296" s="11" t="n"/>
      <c r="B296" s="12" t="n"/>
      <c r="C296" s="12" t="n"/>
      <c r="D296" s="13" t="n"/>
      <c r="E296" s="12" t="n"/>
      <c r="F296" s="14">
        <f>IF(D296="","",IF(C296="Физлицо",0.04,0.06))</f>
        <v/>
      </c>
      <c r="G296" s="15">
        <f>IF(D296="","",MIN(MAX(Старт!$B$6-SUM(G$1:G295),0),D296*IF(C296="Физлицо",0.01,0.02)))</f>
        <v/>
      </c>
      <c r="H296" s="15">
        <f>IF(D296="","",D296*F296-G296)</f>
        <v/>
      </c>
      <c r="I296" s="16">
        <f>IF(A296="","",YEAR(A296))</f>
        <v/>
      </c>
      <c r="J296" s="16">
        <f>IF(A296="","",MONTH(A296))</f>
        <v/>
      </c>
    </row>
    <row r="297">
      <c r="A297" s="11" t="n"/>
      <c r="B297" s="12" t="n"/>
      <c r="C297" s="12" t="n"/>
      <c r="D297" s="13" t="n"/>
      <c r="E297" s="12" t="n"/>
      <c r="F297" s="14">
        <f>IF(D297="","",IF(C297="Физлицо",0.04,0.06))</f>
        <v/>
      </c>
      <c r="G297" s="15">
        <f>IF(D297="","",MIN(MAX(Старт!$B$6-SUM(G$1:G296),0),D297*IF(C297="Физлицо",0.01,0.02)))</f>
        <v/>
      </c>
      <c r="H297" s="15">
        <f>IF(D297="","",D297*F297-G297)</f>
        <v/>
      </c>
      <c r="I297" s="16">
        <f>IF(A297="","",YEAR(A297))</f>
        <v/>
      </c>
      <c r="J297" s="16">
        <f>IF(A297="","",MONTH(A297))</f>
        <v/>
      </c>
    </row>
    <row r="298">
      <c r="A298" s="11" t="n"/>
      <c r="B298" s="12" t="n"/>
      <c r="C298" s="12" t="n"/>
      <c r="D298" s="13" t="n"/>
      <c r="E298" s="12" t="n"/>
      <c r="F298" s="14">
        <f>IF(D298="","",IF(C298="Физлицо",0.04,0.06))</f>
        <v/>
      </c>
      <c r="G298" s="15">
        <f>IF(D298="","",MIN(MAX(Старт!$B$6-SUM(G$1:G297),0),D298*IF(C298="Физлицо",0.01,0.02)))</f>
        <v/>
      </c>
      <c r="H298" s="15">
        <f>IF(D298="","",D298*F298-G298)</f>
        <v/>
      </c>
      <c r="I298" s="16">
        <f>IF(A298="","",YEAR(A298))</f>
        <v/>
      </c>
      <c r="J298" s="16">
        <f>IF(A298="","",MONTH(A298))</f>
        <v/>
      </c>
    </row>
    <row r="299">
      <c r="A299" s="11" t="n"/>
      <c r="B299" s="12" t="n"/>
      <c r="C299" s="12" t="n"/>
      <c r="D299" s="13" t="n"/>
      <c r="E299" s="12" t="n"/>
      <c r="F299" s="14">
        <f>IF(D299="","",IF(C299="Физлицо",0.04,0.06))</f>
        <v/>
      </c>
      <c r="G299" s="15">
        <f>IF(D299="","",MIN(MAX(Старт!$B$6-SUM(G$1:G298),0),D299*IF(C299="Физлицо",0.01,0.02)))</f>
        <v/>
      </c>
      <c r="H299" s="15">
        <f>IF(D299="","",D299*F299-G299)</f>
        <v/>
      </c>
      <c r="I299" s="16">
        <f>IF(A299="","",YEAR(A299))</f>
        <v/>
      </c>
      <c r="J299" s="16">
        <f>IF(A299="","",MONTH(A299))</f>
        <v/>
      </c>
    </row>
    <row r="300">
      <c r="A300" s="11" t="n"/>
      <c r="B300" s="12" t="n"/>
      <c r="C300" s="12" t="n"/>
      <c r="D300" s="13" t="n"/>
      <c r="E300" s="12" t="n"/>
      <c r="F300" s="14">
        <f>IF(D300="","",IF(C300="Физлицо",0.04,0.06))</f>
        <v/>
      </c>
      <c r="G300" s="15">
        <f>IF(D300="","",MIN(MAX(Старт!$B$6-SUM(G$1:G299),0),D300*IF(C300="Физлицо",0.01,0.02)))</f>
        <v/>
      </c>
      <c r="H300" s="15">
        <f>IF(D300="","",D300*F300-G300)</f>
        <v/>
      </c>
      <c r="I300" s="16">
        <f>IF(A300="","",YEAR(A300))</f>
        <v/>
      </c>
      <c r="J300" s="16">
        <f>IF(A300="","",MONTH(A300))</f>
        <v/>
      </c>
    </row>
    <row r="301">
      <c r="A301" s="11" t="n"/>
      <c r="B301" s="12" t="n"/>
      <c r="C301" s="12" t="n"/>
      <c r="D301" s="13" t="n"/>
      <c r="E301" s="12" t="n"/>
      <c r="F301" s="14">
        <f>IF(D301="","",IF(C301="Физлицо",0.04,0.06))</f>
        <v/>
      </c>
      <c r="G301" s="15">
        <f>IF(D301="","",MIN(MAX(Старт!$B$6-SUM(G$1:G300),0),D301*IF(C301="Физлицо",0.01,0.02)))</f>
        <v/>
      </c>
      <c r="H301" s="15">
        <f>IF(D301="","",D301*F301-G301)</f>
        <v/>
      </c>
      <c r="I301" s="16">
        <f>IF(A301="","",YEAR(A301))</f>
        <v/>
      </c>
      <c r="J301" s="16">
        <f>IF(A301="","",MONTH(A301))</f>
        <v/>
      </c>
    </row>
    <row r="302">
      <c r="A302" s="11" t="n"/>
      <c r="B302" s="12" t="n"/>
      <c r="C302" s="12" t="n"/>
      <c r="D302" s="13" t="n"/>
      <c r="E302" s="12" t="n"/>
      <c r="F302" s="14">
        <f>IF(D302="","",IF(C302="Физлицо",0.04,0.06))</f>
        <v/>
      </c>
      <c r="G302" s="15">
        <f>IF(D302="","",MIN(MAX(Старт!$B$6-SUM(G$1:G301),0),D302*IF(C302="Физлицо",0.01,0.02)))</f>
        <v/>
      </c>
      <c r="H302" s="15">
        <f>IF(D302="","",D302*F302-G302)</f>
        <v/>
      </c>
      <c r="I302" s="16">
        <f>IF(A302="","",YEAR(A302))</f>
        <v/>
      </c>
      <c r="J302" s="16">
        <f>IF(A302="","",MONTH(A302))</f>
        <v/>
      </c>
    </row>
    <row r="303">
      <c r="A303" s="11" t="n"/>
      <c r="B303" s="12" t="n"/>
      <c r="C303" s="12" t="n"/>
      <c r="D303" s="13" t="n"/>
      <c r="E303" s="12" t="n"/>
      <c r="F303" s="14">
        <f>IF(D303="","",IF(C303="Физлицо",0.04,0.06))</f>
        <v/>
      </c>
      <c r="G303" s="15">
        <f>IF(D303="","",MIN(MAX(Старт!$B$6-SUM(G$1:G302),0),D303*IF(C303="Физлицо",0.01,0.02)))</f>
        <v/>
      </c>
      <c r="H303" s="15">
        <f>IF(D303="","",D303*F303-G303)</f>
        <v/>
      </c>
      <c r="I303" s="16">
        <f>IF(A303="","",YEAR(A303))</f>
        <v/>
      </c>
      <c r="J303" s="16">
        <f>IF(A303="","",MONTH(A303))</f>
        <v/>
      </c>
    </row>
    <row r="304">
      <c r="A304" s="11" t="n"/>
      <c r="B304" s="12" t="n"/>
      <c r="C304" s="12" t="n"/>
      <c r="D304" s="13" t="n"/>
      <c r="E304" s="12" t="n"/>
      <c r="F304" s="14">
        <f>IF(D304="","",IF(C304="Физлицо",0.04,0.06))</f>
        <v/>
      </c>
      <c r="G304" s="15">
        <f>IF(D304="","",MIN(MAX(Старт!$B$6-SUM(G$1:G303),0),D304*IF(C304="Физлицо",0.01,0.02)))</f>
        <v/>
      </c>
      <c r="H304" s="15">
        <f>IF(D304="","",D304*F304-G304)</f>
        <v/>
      </c>
      <c r="I304" s="16">
        <f>IF(A304="","",YEAR(A304))</f>
        <v/>
      </c>
      <c r="J304" s="16">
        <f>IF(A304="","",MONTH(A304))</f>
        <v/>
      </c>
    </row>
    <row r="305">
      <c r="A305" s="11" t="n"/>
      <c r="B305" s="12" t="n"/>
      <c r="C305" s="12" t="n"/>
      <c r="D305" s="13" t="n"/>
      <c r="E305" s="12" t="n"/>
      <c r="F305" s="14">
        <f>IF(D305="","",IF(C305="Физлицо",0.04,0.06))</f>
        <v/>
      </c>
      <c r="G305" s="15">
        <f>IF(D305="","",MIN(MAX(Старт!$B$6-SUM(G$1:G304),0),D305*IF(C305="Физлицо",0.01,0.02)))</f>
        <v/>
      </c>
      <c r="H305" s="15">
        <f>IF(D305="","",D305*F305-G305)</f>
        <v/>
      </c>
      <c r="I305" s="16">
        <f>IF(A305="","",YEAR(A305))</f>
        <v/>
      </c>
      <c r="J305" s="16">
        <f>IF(A305="","",MONTH(A305))</f>
        <v/>
      </c>
    </row>
    <row r="306">
      <c r="A306" s="11" t="n"/>
      <c r="B306" s="12" t="n"/>
      <c r="C306" s="12" t="n"/>
      <c r="D306" s="13" t="n"/>
      <c r="E306" s="12" t="n"/>
      <c r="F306" s="14">
        <f>IF(D306="","",IF(C306="Физлицо",0.04,0.06))</f>
        <v/>
      </c>
      <c r="G306" s="15">
        <f>IF(D306="","",MIN(MAX(Старт!$B$6-SUM(G$1:G305),0),D306*IF(C306="Физлицо",0.01,0.02)))</f>
        <v/>
      </c>
      <c r="H306" s="15">
        <f>IF(D306="","",D306*F306-G306)</f>
        <v/>
      </c>
      <c r="I306" s="16">
        <f>IF(A306="","",YEAR(A306))</f>
        <v/>
      </c>
      <c r="J306" s="16">
        <f>IF(A306="","",MONTH(A306))</f>
        <v/>
      </c>
    </row>
    <row r="307">
      <c r="A307" s="11" t="n"/>
      <c r="B307" s="12" t="n"/>
      <c r="C307" s="12" t="n"/>
      <c r="D307" s="13" t="n"/>
      <c r="E307" s="12" t="n"/>
      <c r="F307" s="14">
        <f>IF(D307="","",IF(C307="Физлицо",0.04,0.06))</f>
        <v/>
      </c>
      <c r="G307" s="15">
        <f>IF(D307="","",MIN(MAX(Старт!$B$6-SUM(G$1:G306),0),D307*IF(C307="Физлицо",0.01,0.02)))</f>
        <v/>
      </c>
      <c r="H307" s="15">
        <f>IF(D307="","",D307*F307-G307)</f>
        <v/>
      </c>
      <c r="I307" s="16">
        <f>IF(A307="","",YEAR(A307))</f>
        <v/>
      </c>
      <c r="J307" s="16">
        <f>IF(A307="","",MONTH(A307))</f>
        <v/>
      </c>
    </row>
    <row r="308">
      <c r="A308" s="11" t="n"/>
      <c r="B308" s="12" t="n"/>
      <c r="C308" s="12" t="n"/>
      <c r="D308" s="13" t="n"/>
      <c r="E308" s="12" t="n"/>
      <c r="F308" s="14">
        <f>IF(D308="","",IF(C308="Физлицо",0.04,0.06))</f>
        <v/>
      </c>
      <c r="G308" s="15">
        <f>IF(D308="","",MIN(MAX(Старт!$B$6-SUM(G$1:G307),0),D308*IF(C308="Физлицо",0.01,0.02)))</f>
        <v/>
      </c>
      <c r="H308" s="15">
        <f>IF(D308="","",D308*F308-G308)</f>
        <v/>
      </c>
      <c r="I308" s="16">
        <f>IF(A308="","",YEAR(A308))</f>
        <v/>
      </c>
      <c r="J308" s="16">
        <f>IF(A308="","",MONTH(A308))</f>
        <v/>
      </c>
    </row>
    <row r="309">
      <c r="A309" s="11" t="n"/>
      <c r="B309" s="12" t="n"/>
      <c r="C309" s="12" t="n"/>
      <c r="D309" s="13" t="n"/>
      <c r="E309" s="12" t="n"/>
      <c r="F309" s="14">
        <f>IF(D309="","",IF(C309="Физлицо",0.04,0.06))</f>
        <v/>
      </c>
      <c r="G309" s="15">
        <f>IF(D309="","",MIN(MAX(Старт!$B$6-SUM(G$1:G308),0),D309*IF(C309="Физлицо",0.01,0.02)))</f>
        <v/>
      </c>
      <c r="H309" s="15">
        <f>IF(D309="","",D309*F309-G309)</f>
        <v/>
      </c>
      <c r="I309" s="16">
        <f>IF(A309="","",YEAR(A309))</f>
        <v/>
      </c>
      <c r="J309" s="16">
        <f>IF(A309="","",MONTH(A309))</f>
        <v/>
      </c>
    </row>
    <row r="310">
      <c r="A310" s="11" t="n"/>
      <c r="B310" s="12" t="n"/>
      <c r="C310" s="12" t="n"/>
      <c r="D310" s="13" t="n"/>
      <c r="E310" s="12" t="n"/>
      <c r="F310" s="14">
        <f>IF(D310="","",IF(C310="Физлицо",0.04,0.06))</f>
        <v/>
      </c>
      <c r="G310" s="15">
        <f>IF(D310="","",MIN(MAX(Старт!$B$6-SUM(G$1:G309),0),D310*IF(C310="Физлицо",0.01,0.02)))</f>
        <v/>
      </c>
      <c r="H310" s="15">
        <f>IF(D310="","",D310*F310-G310)</f>
        <v/>
      </c>
      <c r="I310" s="16">
        <f>IF(A310="","",YEAR(A310))</f>
        <v/>
      </c>
      <c r="J310" s="16">
        <f>IF(A310="","",MONTH(A310))</f>
        <v/>
      </c>
    </row>
    <row r="311">
      <c r="A311" s="11" t="n"/>
      <c r="B311" s="12" t="n"/>
      <c r="C311" s="12" t="n"/>
      <c r="D311" s="13" t="n"/>
      <c r="E311" s="12" t="n"/>
      <c r="F311" s="14">
        <f>IF(D311="","",IF(C311="Физлицо",0.04,0.06))</f>
        <v/>
      </c>
      <c r="G311" s="15">
        <f>IF(D311="","",MIN(MAX(Старт!$B$6-SUM(G$1:G310),0),D311*IF(C311="Физлицо",0.01,0.02)))</f>
        <v/>
      </c>
      <c r="H311" s="15">
        <f>IF(D311="","",D311*F311-G311)</f>
        <v/>
      </c>
      <c r="I311" s="16">
        <f>IF(A311="","",YEAR(A311))</f>
        <v/>
      </c>
      <c r="J311" s="16">
        <f>IF(A311="","",MONTH(A311))</f>
        <v/>
      </c>
    </row>
    <row r="312">
      <c r="A312" s="11" t="n"/>
      <c r="B312" s="12" t="n"/>
      <c r="C312" s="12" t="n"/>
      <c r="D312" s="13" t="n"/>
      <c r="E312" s="12" t="n"/>
      <c r="F312" s="14">
        <f>IF(D312="","",IF(C312="Физлицо",0.04,0.06))</f>
        <v/>
      </c>
      <c r="G312" s="15">
        <f>IF(D312="","",MIN(MAX(Старт!$B$6-SUM(G$1:G311),0),D312*IF(C312="Физлицо",0.01,0.02)))</f>
        <v/>
      </c>
      <c r="H312" s="15">
        <f>IF(D312="","",D312*F312-G312)</f>
        <v/>
      </c>
      <c r="I312" s="16">
        <f>IF(A312="","",YEAR(A312))</f>
        <v/>
      </c>
      <c r="J312" s="16">
        <f>IF(A312="","",MONTH(A312))</f>
        <v/>
      </c>
    </row>
    <row r="313">
      <c r="A313" s="11" t="n"/>
      <c r="B313" s="12" t="n"/>
      <c r="C313" s="12" t="n"/>
      <c r="D313" s="13" t="n"/>
      <c r="E313" s="12" t="n"/>
      <c r="F313" s="14">
        <f>IF(D313="","",IF(C313="Физлицо",0.04,0.06))</f>
        <v/>
      </c>
      <c r="G313" s="15">
        <f>IF(D313="","",MIN(MAX(Старт!$B$6-SUM(G$1:G312),0),D313*IF(C313="Физлицо",0.01,0.02)))</f>
        <v/>
      </c>
      <c r="H313" s="15">
        <f>IF(D313="","",D313*F313-G313)</f>
        <v/>
      </c>
      <c r="I313" s="16">
        <f>IF(A313="","",YEAR(A313))</f>
        <v/>
      </c>
      <c r="J313" s="16">
        <f>IF(A313="","",MONTH(A313))</f>
        <v/>
      </c>
    </row>
    <row r="314">
      <c r="A314" s="11" t="n"/>
      <c r="B314" s="12" t="n"/>
      <c r="C314" s="12" t="n"/>
      <c r="D314" s="13" t="n"/>
      <c r="E314" s="12" t="n"/>
      <c r="F314" s="14">
        <f>IF(D314="","",IF(C314="Физлицо",0.04,0.06))</f>
        <v/>
      </c>
      <c r="G314" s="15">
        <f>IF(D314="","",MIN(MAX(Старт!$B$6-SUM(G$1:G313),0),D314*IF(C314="Физлицо",0.01,0.02)))</f>
        <v/>
      </c>
      <c r="H314" s="15">
        <f>IF(D314="","",D314*F314-G314)</f>
        <v/>
      </c>
      <c r="I314" s="16">
        <f>IF(A314="","",YEAR(A314))</f>
        <v/>
      </c>
      <c r="J314" s="16">
        <f>IF(A314="","",MONTH(A314))</f>
        <v/>
      </c>
    </row>
    <row r="315">
      <c r="A315" s="11" t="n"/>
      <c r="B315" s="12" t="n"/>
      <c r="C315" s="12" t="n"/>
      <c r="D315" s="13" t="n"/>
      <c r="E315" s="12" t="n"/>
      <c r="F315" s="14">
        <f>IF(D315="","",IF(C315="Физлицо",0.04,0.06))</f>
        <v/>
      </c>
      <c r="G315" s="15">
        <f>IF(D315="","",MIN(MAX(Старт!$B$6-SUM(G$1:G314),0),D315*IF(C315="Физлицо",0.01,0.02)))</f>
        <v/>
      </c>
      <c r="H315" s="15">
        <f>IF(D315="","",D315*F315-G315)</f>
        <v/>
      </c>
      <c r="I315" s="16">
        <f>IF(A315="","",YEAR(A315))</f>
        <v/>
      </c>
      <c r="J315" s="16">
        <f>IF(A315="","",MONTH(A315))</f>
        <v/>
      </c>
    </row>
    <row r="316">
      <c r="A316" s="11" t="n"/>
      <c r="B316" s="12" t="n"/>
      <c r="C316" s="12" t="n"/>
      <c r="D316" s="13" t="n"/>
      <c r="E316" s="12" t="n"/>
      <c r="F316" s="14">
        <f>IF(D316="","",IF(C316="Физлицо",0.04,0.06))</f>
        <v/>
      </c>
      <c r="G316" s="15">
        <f>IF(D316="","",MIN(MAX(Старт!$B$6-SUM(G$1:G315),0),D316*IF(C316="Физлицо",0.01,0.02)))</f>
        <v/>
      </c>
      <c r="H316" s="15">
        <f>IF(D316="","",D316*F316-G316)</f>
        <v/>
      </c>
      <c r="I316" s="16">
        <f>IF(A316="","",YEAR(A316))</f>
        <v/>
      </c>
      <c r="J316" s="16">
        <f>IF(A316="","",MONTH(A316))</f>
        <v/>
      </c>
    </row>
    <row r="317">
      <c r="A317" s="11" t="n"/>
      <c r="B317" s="12" t="n"/>
      <c r="C317" s="12" t="n"/>
      <c r="D317" s="13" t="n"/>
      <c r="E317" s="12" t="n"/>
      <c r="F317" s="14">
        <f>IF(D317="","",IF(C317="Физлицо",0.04,0.06))</f>
        <v/>
      </c>
      <c r="G317" s="15">
        <f>IF(D317="","",MIN(MAX(Старт!$B$6-SUM(G$1:G316),0),D317*IF(C317="Физлицо",0.01,0.02)))</f>
        <v/>
      </c>
      <c r="H317" s="15">
        <f>IF(D317="","",D317*F317-G317)</f>
        <v/>
      </c>
      <c r="I317" s="16">
        <f>IF(A317="","",YEAR(A317))</f>
        <v/>
      </c>
      <c r="J317" s="16">
        <f>IF(A317="","",MONTH(A317))</f>
        <v/>
      </c>
    </row>
    <row r="318">
      <c r="A318" s="11" t="n"/>
      <c r="B318" s="12" t="n"/>
      <c r="C318" s="12" t="n"/>
      <c r="D318" s="13" t="n"/>
      <c r="E318" s="12" t="n"/>
      <c r="F318" s="14">
        <f>IF(D318="","",IF(C318="Физлицо",0.04,0.06))</f>
        <v/>
      </c>
      <c r="G318" s="15">
        <f>IF(D318="","",MIN(MAX(Старт!$B$6-SUM(G$1:G317),0),D318*IF(C318="Физлицо",0.01,0.02)))</f>
        <v/>
      </c>
      <c r="H318" s="15">
        <f>IF(D318="","",D318*F318-G318)</f>
        <v/>
      </c>
      <c r="I318" s="16">
        <f>IF(A318="","",YEAR(A318))</f>
        <v/>
      </c>
      <c r="J318" s="16">
        <f>IF(A318="","",MONTH(A318))</f>
        <v/>
      </c>
    </row>
    <row r="319">
      <c r="A319" s="11" t="n"/>
      <c r="B319" s="12" t="n"/>
      <c r="C319" s="12" t="n"/>
      <c r="D319" s="13" t="n"/>
      <c r="E319" s="12" t="n"/>
      <c r="F319" s="14">
        <f>IF(D319="","",IF(C319="Физлицо",0.04,0.06))</f>
        <v/>
      </c>
      <c r="G319" s="15">
        <f>IF(D319="","",MIN(MAX(Старт!$B$6-SUM(G$1:G318),0),D319*IF(C319="Физлицо",0.01,0.02)))</f>
        <v/>
      </c>
      <c r="H319" s="15">
        <f>IF(D319="","",D319*F319-G319)</f>
        <v/>
      </c>
      <c r="I319" s="16">
        <f>IF(A319="","",YEAR(A319))</f>
        <v/>
      </c>
      <c r="J319" s="16">
        <f>IF(A319="","",MONTH(A319))</f>
        <v/>
      </c>
    </row>
    <row r="320">
      <c r="A320" s="11" t="n"/>
      <c r="B320" s="12" t="n"/>
      <c r="C320" s="12" t="n"/>
      <c r="D320" s="13" t="n"/>
      <c r="E320" s="12" t="n"/>
      <c r="F320" s="14">
        <f>IF(D320="","",IF(C320="Физлицо",0.04,0.06))</f>
        <v/>
      </c>
      <c r="G320" s="15">
        <f>IF(D320="","",MIN(MAX(Старт!$B$6-SUM(G$1:G319),0),D320*IF(C320="Физлицо",0.01,0.02)))</f>
        <v/>
      </c>
      <c r="H320" s="15">
        <f>IF(D320="","",D320*F320-G320)</f>
        <v/>
      </c>
      <c r="I320" s="16">
        <f>IF(A320="","",YEAR(A320))</f>
        <v/>
      </c>
      <c r="J320" s="16">
        <f>IF(A320="","",MONTH(A320))</f>
        <v/>
      </c>
    </row>
    <row r="321">
      <c r="A321" s="11" t="n"/>
      <c r="B321" s="12" t="n"/>
      <c r="C321" s="12" t="n"/>
      <c r="D321" s="13" t="n"/>
      <c r="E321" s="12" t="n"/>
      <c r="F321" s="14">
        <f>IF(D321="","",IF(C321="Физлицо",0.04,0.06))</f>
        <v/>
      </c>
      <c r="G321" s="15">
        <f>IF(D321="","",MIN(MAX(Старт!$B$6-SUM(G$1:G320),0),D321*IF(C321="Физлицо",0.01,0.02)))</f>
        <v/>
      </c>
      <c r="H321" s="15">
        <f>IF(D321="","",D321*F321-G321)</f>
        <v/>
      </c>
      <c r="I321" s="16">
        <f>IF(A321="","",YEAR(A321))</f>
        <v/>
      </c>
      <c r="J321" s="16">
        <f>IF(A321="","",MONTH(A321))</f>
        <v/>
      </c>
    </row>
    <row r="322">
      <c r="A322" s="11" t="n"/>
      <c r="B322" s="12" t="n"/>
      <c r="C322" s="12" t="n"/>
      <c r="D322" s="13" t="n"/>
      <c r="E322" s="12" t="n"/>
      <c r="F322" s="14">
        <f>IF(D322="","",IF(C322="Физлицо",0.04,0.06))</f>
        <v/>
      </c>
      <c r="G322" s="15">
        <f>IF(D322="","",MIN(MAX(Старт!$B$6-SUM(G$1:G321),0),D322*IF(C322="Физлицо",0.01,0.02)))</f>
        <v/>
      </c>
      <c r="H322" s="15">
        <f>IF(D322="","",D322*F322-G322)</f>
        <v/>
      </c>
      <c r="I322" s="16">
        <f>IF(A322="","",YEAR(A322))</f>
        <v/>
      </c>
      <c r="J322" s="16">
        <f>IF(A322="","",MONTH(A322))</f>
        <v/>
      </c>
    </row>
    <row r="323">
      <c r="A323" s="11" t="n"/>
      <c r="B323" s="12" t="n"/>
      <c r="C323" s="12" t="n"/>
      <c r="D323" s="13" t="n"/>
      <c r="E323" s="12" t="n"/>
      <c r="F323" s="14">
        <f>IF(D323="","",IF(C323="Физлицо",0.04,0.06))</f>
        <v/>
      </c>
      <c r="G323" s="15">
        <f>IF(D323="","",MIN(MAX(Старт!$B$6-SUM(G$1:G322),0),D323*IF(C323="Физлицо",0.01,0.02)))</f>
        <v/>
      </c>
      <c r="H323" s="15">
        <f>IF(D323="","",D323*F323-G323)</f>
        <v/>
      </c>
      <c r="I323" s="16">
        <f>IF(A323="","",YEAR(A323))</f>
        <v/>
      </c>
      <c r="J323" s="16">
        <f>IF(A323="","",MONTH(A323))</f>
        <v/>
      </c>
    </row>
    <row r="324">
      <c r="A324" s="11" t="n"/>
      <c r="B324" s="12" t="n"/>
      <c r="C324" s="12" t="n"/>
      <c r="D324" s="13" t="n"/>
      <c r="E324" s="12" t="n"/>
      <c r="F324" s="14">
        <f>IF(D324="","",IF(C324="Физлицо",0.04,0.06))</f>
        <v/>
      </c>
      <c r="G324" s="15">
        <f>IF(D324="","",MIN(MAX(Старт!$B$6-SUM(G$1:G323),0),D324*IF(C324="Физлицо",0.01,0.02)))</f>
        <v/>
      </c>
      <c r="H324" s="15">
        <f>IF(D324="","",D324*F324-G324)</f>
        <v/>
      </c>
      <c r="I324" s="16">
        <f>IF(A324="","",YEAR(A324))</f>
        <v/>
      </c>
      <c r="J324" s="16">
        <f>IF(A324="","",MONTH(A324))</f>
        <v/>
      </c>
    </row>
    <row r="325">
      <c r="A325" s="11" t="n"/>
      <c r="B325" s="12" t="n"/>
      <c r="C325" s="12" t="n"/>
      <c r="D325" s="13" t="n"/>
      <c r="E325" s="12" t="n"/>
      <c r="F325" s="14">
        <f>IF(D325="","",IF(C325="Физлицо",0.04,0.06))</f>
        <v/>
      </c>
      <c r="G325" s="15">
        <f>IF(D325="","",MIN(MAX(Старт!$B$6-SUM(G$1:G324),0),D325*IF(C325="Физлицо",0.01,0.02)))</f>
        <v/>
      </c>
      <c r="H325" s="15">
        <f>IF(D325="","",D325*F325-G325)</f>
        <v/>
      </c>
      <c r="I325" s="16">
        <f>IF(A325="","",YEAR(A325))</f>
        <v/>
      </c>
      <c r="J325" s="16">
        <f>IF(A325="","",MONTH(A325))</f>
        <v/>
      </c>
    </row>
    <row r="326">
      <c r="A326" s="11" t="n"/>
      <c r="B326" s="12" t="n"/>
      <c r="C326" s="12" t="n"/>
      <c r="D326" s="13" t="n"/>
      <c r="E326" s="12" t="n"/>
      <c r="F326" s="14">
        <f>IF(D326="","",IF(C326="Физлицо",0.04,0.06))</f>
        <v/>
      </c>
      <c r="G326" s="15">
        <f>IF(D326="","",MIN(MAX(Старт!$B$6-SUM(G$1:G325),0),D326*IF(C326="Физлицо",0.01,0.02)))</f>
        <v/>
      </c>
      <c r="H326" s="15">
        <f>IF(D326="","",D326*F326-G326)</f>
        <v/>
      </c>
      <c r="I326" s="16">
        <f>IF(A326="","",YEAR(A326))</f>
        <v/>
      </c>
      <c r="J326" s="16">
        <f>IF(A326="","",MONTH(A326))</f>
        <v/>
      </c>
    </row>
    <row r="327">
      <c r="A327" s="11" t="n"/>
      <c r="B327" s="12" t="n"/>
      <c r="C327" s="12" t="n"/>
      <c r="D327" s="13" t="n"/>
      <c r="E327" s="12" t="n"/>
      <c r="F327" s="14">
        <f>IF(D327="","",IF(C327="Физлицо",0.04,0.06))</f>
        <v/>
      </c>
      <c r="G327" s="15">
        <f>IF(D327="","",MIN(MAX(Старт!$B$6-SUM(G$1:G326),0),D327*IF(C327="Физлицо",0.01,0.02)))</f>
        <v/>
      </c>
      <c r="H327" s="15">
        <f>IF(D327="","",D327*F327-G327)</f>
        <v/>
      </c>
      <c r="I327" s="16">
        <f>IF(A327="","",YEAR(A327))</f>
        <v/>
      </c>
      <c r="J327" s="16">
        <f>IF(A327="","",MONTH(A327))</f>
        <v/>
      </c>
    </row>
    <row r="328">
      <c r="A328" s="11" t="n"/>
      <c r="B328" s="12" t="n"/>
      <c r="C328" s="12" t="n"/>
      <c r="D328" s="13" t="n"/>
      <c r="E328" s="12" t="n"/>
      <c r="F328" s="14">
        <f>IF(D328="","",IF(C328="Физлицо",0.04,0.06))</f>
        <v/>
      </c>
      <c r="G328" s="15">
        <f>IF(D328="","",MIN(MAX(Старт!$B$6-SUM(G$1:G327),0),D328*IF(C328="Физлицо",0.01,0.02)))</f>
        <v/>
      </c>
      <c r="H328" s="15">
        <f>IF(D328="","",D328*F328-G328)</f>
        <v/>
      </c>
      <c r="I328" s="16">
        <f>IF(A328="","",YEAR(A328))</f>
        <v/>
      </c>
      <c r="J328" s="16">
        <f>IF(A328="","",MONTH(A328))</f>
        <v/>
      </c>
    </row>
    <row r="329">
      <c r="A329" s="11" t="n"/>
      <c r="B329" s="12" t="n"/>
      <c r="C329" s="12" t="n"/>
      <c r="D329" s="13" t="n"/>
      <c r="E329" s="12" t="n"/>
      <c r="F329" s="14">
        <f>IF(D329="","",IF(C329="Физлицо",0.04,0.06))</f>
        <v/>
      </c>
      <c r="G329" s="15">
        <f>IF(D329="","",MIN(MAX(Старт!$B$6-SUM(G$1:G328),0),D329*IF(C329="Физлицо",0.01,0.02)))</f>
        <v/>
      </c>
      <c r="H329" s="15">
        <f>IF(D329="","",D329*F329-G329)</f>
        <v/>
      </c>
      <c r="I329" s="16">
        <f>IF(A329="","",YEAR(A329))</f>
        <v/>
      </c>
      <c r="J329" s="16">
        <f>IF(A329="","",MONTH(A329))</f>
        <v/>
      </c>
    </row>
    <row r="330">
      <c r="A330" s="11" t="n"/>
      <c r="B330" s="12" t="n"/>
      <c r="C330" s="12" t="n"/>
      <c r="D330" s="13" t="n"/>
      <c r="E330" s="12" t="n"/>
      <c r="F330" s="14">
        <f>IF(D330="","",IF(C330="Физлицо",0.04,0.06))</f>
        <v/>
      </c>
      <c r="G330" s="15">
        <f>IF(D330="","",MIN(MAX(Старт!$B$6-SUM(G$1:G329),0),D330*IF(C330="Физлицо",0.01,0.02)))</f>
        <v/>
      </c>
      <c r="H330" s="15">
        <f>IF(D330="","",D330*F330-G330)</f>
        <v/>
      </c>
      <c r="I330" s="16">
        <f>IF(A330="","",YEAR(A330))</f>
        <v/>
      </c>
      <c r="J330" s="16">
        <f>IF(A330="","",MONTH(A330))</f>
        <v/>
      </c>
    </row>
    <row r="331">
      <c r="A331" s="11" t="n"/>
      <c r="B331" s="12" t="n"/>
      <c r="C331" s="12" t="n"/>
      <c r="D331" s="13" t="n"/>
      <c r="E331" s="12" t="n"/>
      <c r="F331" s="14">
        <f>IF(D331="","",IF(C331="Физлицо",0.04,0.06))</f>
        <v/>
      </c>
      <c r="G331" s="15">
        <f>IF(D331="","",MIN(MAX(Старт!$B$6-SUM(G$1:G330),0),D331*IF(C331="Физлицо",0.01,0.02)))</f>
        <v/>
      </c>
      <c r="H331" s="15">
        <f>IF(D331="","",D331*F331-G331)</f>
        <v/>
      </c>
      <c r="I331" s="16">
        <f>IF(A331="","",YEAR(A331))</f>
        <v/>
      </c>
      <c r="J331" s="16">
        <f>IF(A331="","",MONTH(A331))</f>
        <v/>
      </c>
    </row>
    <row r="332">
      <c r="A332" s="11" t="n"/>
      <c r="B332" s="12" t="n"/>
      <c r="C332" s="12" t="n"/>
      <c r="D332" s="13" t="n"/>
      <c r="E332" s="12" t="n"/>
      <c r="F332" s="14">
        <f>IF(D332="","",IF(C332="Физлицо",0.04,0.06))</f>
        <v/>
      </c>
      <c r="G332" s="15">
        <f>IF(D332="","",MIN(MAX(Старт!$B$6-SUM(G$1:G331),0),D332*IF(C332="Физлицо",0.01,0.02)))</f>
        <v/>
      </c>
      <c r="H332" s="15">
        <f>IF(D332="","",D332*F332-G332)</f>
        <v/>
      </c>
      <c r="I332" s="16">
        <f>IF(A332="","",YEAR(A332))</f>
        <v/>
      </c>
      <c r="J332" s="16">
        <f>IF(A332="","",MONTH(A332))</f>
        <v/>
      </c>
    </row>
    <row r="333">
      <c r="A333" s="11" t="n"/>
      <c r="B333" s="12" t="n"/>
      <c r="C333" s="12" t="n"/>
      <c r="D333" s="13" t="n"/>
      <c r="E333" s="12" t="n"/>
      <c r="F333" s="14">
        <f>IF(D333="","",IF(C333="Физлицо",0.04,0.06))</f>
        <v/>
      </c>
      <c r="G333" s="15">
        <f>IF(D333="","",MIN(MAX(Старт!$B$6-SUM(G$1:G332),0),D333*IF(C333="Физлицо",0.01,0.02)))</f>
        <v/>
      </c>
      <c r="H333" s="15">
        <f>IF(D333="","",D333*F333-G333)</f>
        <v/>
      </c>
      <c r="I333" s="16">
        <f>IF(A333="","",YEAR(A333))</f>
        <v/>
      </c>
      <c r="J333" s="16">
        <f>IF(A333="","",MONTH(A333))</f>
        <v/>
      </c>
    </row>
    <row r="334">
      <c r="A334" s="11" t="n"/>
      <c r="B334" s="12" t="n"/>
      <c r="C334" s="12" t="n"/>
      <c r="D334" s="13" t="n"/>
      <c r="E334" s="12" t="n"/>
      <c r="F334" s="14">
        <f>IF(D334="","",IF(C334="Физлицо",0.04,0.06))</f>
        <v/>
      </c>
      <c r="G334" s="15">
        <f>IF(D334="","",MIN(MAX(Старт!$B$6-SUM(G$1:G333),0),D334*IF(C334="Физлицо",0.01,0.02)))</f>
        <v/>
      </c>
      <c r="H334" s="15">
        <f>IF(D334="","",D334*F334-G334)</f>
        <v/>
      </c>
      <c r="I334" s="16">
        <f>IF(A334="","",YEAR(A334))</f>
        <v/>
      </c>
      <c r="J334" s="16">
        <f>IF(A334="","",MONTH(A334))</f>
        <v/>
      </c>
    </row>
    <row r="335">
      <c r="A335" s="11" t="n"/>
      <c r="B335" s="12" t="n"/>
      <c r="C335" s="12" t="n"/>
      <c r="D335" s="13" t="n"/>
      <c r="E335" s="12" t="n"/>
      <c r="F335" s="14">
        <f>IF(D335="","",IF(C335="Физлицо",0.04,0.06))</f>
        <v/>
      </c>
      <c r="G335" s="15">
        <f>IF(D335="","",MIN(MAX(Старт!$B$6-SUM(G$1:G334),0),D335*IF(C335="Физлицо",0.01,0.02)))</f>
        <v/>
      </c>
      <c r="H335" s="15">
        <f>IF(D335="","",D335*F335-G335)</f>
        <v/>
      </c>
      <c r="I335" s="16">
        <f>IF(A335="","",YEAR(A335))</f>
        <v/>
      </c>
      <c r="J335" s="16">
        <f>IF(A335="","",MONTH(A335))</f>
        <v/>
      </c>
    </row>
    <row r="336">
      <c r="A336" s="11" t="n"/>
      <c r="B336" s="12" t="n"/>
      <c r="C336" s="12" t="n"/>
      <c r="D336" s="13" t="n"/>
      <c r="E336" s="12" t="n"/>
      <c r="F336" s="14">
        <f>IF(D336="","",IF(C336="Физлицо",0.04,0.06))</f>
        <v/>
      </c>
      <c r="G336" s="15">
        <f>IF(D336="","",MIN(MAX(Старт!$B$6-SUM(G$1:G335),0),D336*IF(C336="Физлицо",0.01,0.02)))</f>
        <v/>
      </c>
      <c r="H336" s="15">
        <f>IF(D336="","",D336*F336-G336)</f>
        <v/>
      </c>
      <c r="I336" s="16">
        <f>IF(A336="","",YEAR(A336))</f>
        <v/>
      </c>
      <c r="J336" s="16">
        <f>IF(A336="","",MONTH(A336))</f>
        <v/>
      </c>
    </row>
    <row r="337">
      <c r="A337" s="11" t="n"/>
      <c r="B337" s="12" t="n"/>
      <c r="C337" s="12" t="n"/>
      <c r="D337" s="13" t="n"/>
      <c r="E337" s="12" t="n"/>
      <c r="F337" s="14">
        <f>IF(D337="","",IF(C337="Физлицо",0.04,0.06))</f>
        <v/>
      </c>
      <c r="G337" s="15">
        <f>IF(D337="","",MIN(MAX(Старт!$B$6-SUM(G$1:G336),0),D337*IF(C337="Физлицо",0.01,0.02)))</f>
        <v/>
      </c>
      <c r="H337" s="15">
        <f>IF(D337="","",D337*F337-G337)</f>
        <v/>
      </c>
      <c r="I337" s="16">
        <f>IF(A337="","",YEAR(A337))</f>
        <v/>
      </c>
      <c r="J337" s="16">
        <f>IF(A337="","",MONTH(A337))</f>
        <v/>
      </c>
    </row>
    <row r="338">
      <c r="A338" s="11" t="n"/>
      <c r="B338" s="12" t="n"/>
      <c r="C338" s="12" t="n"/>
      <c r="D338" s="13" t="n"/>
      <c r="E338" s="12" t="n"/>
      <c r="F338" s="14">
        <f>IF(D338="","",IF(C338="Физлицо",0.04,0.06))</f>
        <v/>
      </c>
      <c r="G338" s="15">
        <f>IF(D338="","",MIN(MAX(Старт!$B$6-SUM(G$1:G337),0),D338*IF(C338="Физлицо",0.01,0.02)))</f>
        <v/>
      </c>
      <c r="H338" s="15">
        <f>IF(D338="","",D338*F338-G338)</f>
        <v/>
      </c>
      <c r="I338" s="16">
        <f>IF(A338="","",YEAR(A338))</f>
        <v/>
      </c>
      <c r="J338" s="16">
        <f>IF(A338="","",MONTH(A338))</f>
        <v/>
      </c>
    </row>
    <row r="339">
      <c r="A339" s="11" t="n"/>
      <c r="B339" s="12" t="n"/>
      <c r="C339" s="12" t="n"/>
      <c r="D339" s="13" t="n"/>
      <c r="E339" s="12" t="n"/>
      <c r="F339" s="14">
        <f>IF(D339="","",IF(C339="Физлицо",0.04,0.06))</f>
        <v/>
      </c>
      <c r="G339" s="15">
        <f>IF(D339="","",MIN(MAX(Старт!$B$6-SUM(G$1:G338),0),D339*IF(C339="Физлицо",0.01,0.02)))</f>
        <v/>
      </c>
      <c r="H339" s="15">
        <f>IF(D339="","",D339*F339-G339)</f>
        <v/>
      </c>
      <c r="I339" s="16">
        <f>IF(A339="","",YEAR(A339))</f>
        <v/>
      </c>
      <c r="J339" s="16">
        <f>IF(A339="","",MONTH(A339))</f>
        <v/>
      </c>
    </row>
    <row r="340">
      <c r="A340" s="11" t="n"/>
      <c r="B340" s="12" t="n"/>
      <c r="C340" s="12" t="n"/>
      <c r="D340" s="13" t="n"/>
      <c r="E340" s="12" t="n"/>
      <c r="F340" s="14">
        <f>IF(D340="","",IF(C340="Физлицо",0.04,0.06))</f>
        <v/>
      </c>
      <c r="G340" s="15">
        <f>IF(D340="","",MIN(MAX(Старт!$B$6-SUM(G$1:G339),0),D340*IF(C340="Физлицо",0.01,0.02)))</f>
        <v/>
      </c>
      <c r="H340" s="15">
        <f>IF(D340="","",D340*F340-G340)</f>
        <v/>
      </c>
      <c r="I340" s="16">
        <f>IF(A340="","",YEAR(A340))</f>
        <v/>
      </c>
      <c r="J340" s="16">
        <f>IF(A340="","",MONTH(A340))</f>
        <v/>
      </c>
    </row>
    <row r="341">
      <c r="A341" s="11" t="n"/>
      <c r="B341" s="12" t="n"/>
      <c r="C341" s="12" t="n"/>
      <c r="D341" s="13" t="n"/>
      <c r="E341" s="12" t="n"/>
      <c r="F341" s="14">
        <f>IF(D341="","",IF(C341="Физлицо",0.04,0.06))</f>
        <v/>
      </c>
      <c r="G341" s="15">
        <f>IF(D341="","",MIN(MAX(Старт!$B$6-SUM(G$1:G340),0),D341*IF(C341="Физлицо",0.01,0.02)))</f>
        <v/>
      </c>
      <c r="H341" s="15">
        <f>IF(D341="","",D341*F341-G341)</f>
        <v/>
      </c>
      <c r="I341" s="16">
        <f>IF(A341="","",YEAR(A341))</f>
        <v/>
      </c>
      <c r="J341" s="16">
        <f>IF(A341="","",MONTH(A341))</f>
        <v/>
      </c>
    </row>
    <row r="342">
      <c r="A342" s="11" t="n"/>
      <c r="B342" s="12" t="n"/>
      <c r="C342" s="12" t="n"/>
      <c r="D342" s="13" t="n"/>
      <c r="E342" s="12" t="n"/>
      <c r="F342" s="14">
        <f>IF(D342="","",IF(C342="Физлицо",0.04,0.06))</f>
        <v/>
      </c>
      <c r="G342" s="15">
        <f>IF(D342="","",MIN(MAX(Старт!$B$6-SUM(G$1:G341),0),D342*IF(C342="Физлицо",0.01,0.02)))</f>
        <v/>
      </c>
      <c r="H342" s="15">
        <f>IF(D342="","",D342*F342-G342)</f>
        <v/>
      </c>
      <c r="I342" s="16">
        <f>IF(A342="","",YEAR(A342))</f>
        <v/>
      </c>
      <c r="J342" s="16">
        <f>IF(A342="","",MONTH(A342))</f>
        <v/>
      </c>
    </row>
    <row r="343">
      <c r="A343" s="11" t="n"/>
      <c r="B343" s="12" t="n"/>
      <c r="C343" s="12" t="n"/>
      <c r="D343" s="13" t="n"/>
      <c r="E343" s="12" t="n"/>
      <c r="F343" s="14">
        <f>IF(D343="","",IF(C343="Физлицо",0.04,0.06))</f>
        <v/>
      </c>
      <c r="G343" s="15">
        <f>IF(D343="","",MIN(MAX(Старт!$B$6-SUM(G$1:G342),0),D343*IF(C343="Физлицо",0.01,0.02)))</f>
        <v/>
      </c>
      <c r="H343" s="15">
        <f>IF(D343="","",D343*F343-G343)</f>
        <v/>
      </c>
      <c r="I343" s="16">
        <f>IF(A343="","",YEAR(A343))</f>
        <v/>
      </c>
      <c r="J343" s="16">
        <f>IF(A343="","",MONTH(A343))</f>
        <v/>
      </c>
    </row>
    <row r="344">
      <c r="A344" s="11" t="n"/>
      <c r="B344" s="12" t="n"/>
      <c r="C344" s="12" t="n"/>
      <c r="D344" s="13" t="n"/>
      <c r="E344" s="12" t="n"/>
      <c r="F344" s="14">
        <f>IF(D344="","",IF(C344="Физлицо",0.04,0.06))</f>
        <v/>
      </c>
      <c r="G344" s="15">
        <f>IF(D344="","",MIN(MAX(Старт!$B$6-SUM(G$1:G343),0),D344*IF(C344="Физлицо",0.01,0.02)))</f>
        <v/>
      </c>
      <c r="H344" s="15">
        <f>IF(D344="","",D344*F344-G344)</f>
        <v/>
      </c>
      <c r="I344" s="16">
        <f>IF(A344="","",YEAR(A344))</f>
        <v/>
      </c>
      <c r="J344" s="16">
        <f>IF(A344="","",MONTH(A344))</f>
        <v/>
      </c>
    </row>
    <row r="345">
      <c r="A345" s="11" t="n"/>
      <c r="B345" s="12" t="n"/>
      <c r="C345" s="12" t="n"/>
      <c r="D345" s="13" t="n"/>
      <c r="E345" s="12" t="n"/>
      <c r="F345" s="14">
        <f>IF(D345="","",IF(C345="Физлицо",0.04,0.06))</f>
        <v/>
      </c>
      <c r="G345" s="15">
        <f>IF(D345="","",MIN(MAX(Старт!$B$6-SUM(G$1:G344),0),D345*IF(C345="Физлицо",0.01,0.02)))</f>
        <v/>
      </c>
      <c r="H345" s="15">
        <f>IF(D345="","",D345*F345-G345)</f>
        <v/>
      </c>
      <c r="I345" s="16">
        <f>IF(A345="","",YEAR(A345))</f>
        <v/>
      </c>
      <c r="J345" s="16">
        <f>IF(A345="","",MONTH(A345))</f>
        <v/>
      </c>
    </row>
    <row r="346">
      <c r="A346" s="11" t="n"/>
      <c r="B346" s="12" t="n"/>
      <c r="C346" s="12" t="n"/>
      <c r="D346" s="13" t="n"/>
      <c r="E346" s="12" t="n"/>
      <c r="F346" s="14">
        <f>IF(D346="","",IF(C346="Физлицо",0.04,0.06))</f>
        <v/>
      </c>
      <c r="G346" s="15">
        <f>IF(D346="","",MIN(MAX(Старт!$B$6-SUM(G$1:G345),0),D346*IF(C346="Физлицо",0.01,0.02)))</f>
        <v/>
      </c>
      <c r="H346" s="15">
        <f>IF(D346="","",D346*F346-G346)</f>
        <v/>
      </c>
      <c r="I346" s="16">
        <f>IF(A346="","",YEAR(A346))</f>
        <v/>
      </c>
      <c r="J346" s="16">
        <f>IF(A346="","",MONTH(A346))</f>
        <v/>
      </c>
    </row>
    <row r="347">
      <c r="A347" s="11" t="n"/>
      <c r="B347" s="12" t="n"/>
      <c r="C347" s="12" t="n"/>
      <c r="D347" s="13" t="n"/>
      <c r="E347" s="12" t="n"/>
      <c r="F347" s="14">
        <f>IF(D347="","",IF(C347="Физлицо",0.04,0.06))</f>
        <v/>
      </c>
      <c r="G347" s="15">
        <f>IF(D347="","",MIN(MAX(Старт!$B$6-SUM(G$1:G346),0),D347*IF(C347="Физлицо",0.01,0.02)))</f>
        <v/>
      </c>
      <c r="H347" s="15">
        <f>IF(D347="","",D347*F347-G347)</f>
        <v/>
      </c>
      <c r="I347" s="16">
        <f>IF(A347="","",YEAR(A347))</f>
        <v/>
      </c>
      <c r="J347" s="16">
        <f>IF(A347="","",MONTH(A347))</f>
        <v/>
      </c>
    </row>
    <row r="348">
      <c r="A348" s="11" t="n"/>
      <c r="B348" s="12" t="n"/>
      <c r="C348" s="12" t="n"/>
      <c r="D348" s="13" t="n"/>
      <c r="E348" s="12" t="n"/>
      <c r="F348" s="14">
        <f>IF(D348="","",IF(C348="Физлицо",0.04,0.06))</f>
        <v/>
      </c>
      <c r="G348" s="15">
        <f>IF(D348="","",MIN(MAX(Старт!$B$6-SUM(G$1:G347),0),D348*IF(C348="Физлицо",0.01,0.02)))</f>
        <v/>
      </c>
      <c r="H348" s="15">
        <f>IF(D348="","",D348*F348-G348)</f>
        <v/>
      </c>
      <c r="I348" s="16">
        <f>IF(A348="","",YEAR(A348))</f>
        <v/>
      </c>
      <c r="J348" s="16">
        <f>IF(A348="","",MONTH(A348))</f>
        <v/>
      </c>
    </row>
    <row r="349">
      <c r="A349" s="11" t="n"/>
      <c r="B349" s="12" t="n"/>
      <c r="C349" s="12" t="n"/>
      <c r="D349" s="13" t="n"/>
      <c r="E349" s="12" t="n"/>
      <c r="F349" s="14">
        <f>IF(D349="","",IF(C349="Физлицо",0.04,0.06))</f>
        <v/>
      </c>
      <c r="G349" s="15">
        <f>IF(D349="","",MIN(MAX(Старт!$B$6-SUM(G$1:G348),0),D349*IF(C349="Физлицо",0.01,0.02)))</f>
        <v/>
      </c>
      <c r="H349" s="15">
        <f>IF(D349="","",D349*F349-G349)</f>
        <v/>
      </c>
      <c r="I349" s="16">
        <f>IF(A349="","",YEAR(A349))</f>
        <v/>
      </c>
      <c r="J349" s="16">
        <f>IF(A349="","",MONTH(A349))</f>
        <v/>
      </c>
    </row>
    <row r="350">
      <c r="A350" s="11" t="n"/>
      <c r="B350" s="12" t="n"/>
      <c r="C350" s="12" t="n"/>
      <c r="D350" s="13" t="n"/>
      <c r="E350" s="12" t="n"/>
      <c r="F350" s="14">
        <f>IF(D350="","",IF(C350="Физлицо",0.04,0.06))</f>
        <v/>
      </c>
      <c r="G350" s="15">
        <f>IF(D350="","",MIN(MAX(Старт!$B$6-SUM(G$1:G349),0),D350*IF(C350="Физлицо",0.01,0.02)))</f>
        <v/>
      </c>
      <c r="H350" s="15">
        <f>IF(D350="","",D350*F350-G350)</f>
        <v/>
      </c>
      <c r="I350" s="16">
        <f>IF(A350="","",YEAR(A350))</f>
        <v/>
      </c>
      <c r="J350" s="16">
        <f>IF(A350="","",MONTH(A350))</f>
        <v/>
      </c>
    </row>
    <row r="351">
      <c r="A351" s="11" t="n"/>
      <c r="B351" s="12" t="n"/>
      <c r="C351" s="12" t="n"/>
      <c r="D351" s="13" t="n"/>
      <c r="E351" s="12" t="n"/>
      <c r="F351" s="14">
        <f>IF(D351="","",IF(C351="Физлицо",0.04,0.06))</f>
        <v/>
      </c>
      <c r="G351" s="15">
        <f>IF(D351="","",MIN(MAX(Старт!$B$6-SUM(G$1:G350),0),D351*IF(C351="Физлицо",0.01,0.02)))</f>
        <v/>
      </c>
      <c r="H351" s="15">
        <f>IF(D351="","",D351*F351-G351)</f>
        <v/>
      </c>
      <c r="I351" s="16">
        <f>IF(A351="","",YEAR(A351))</f>
        <v/>
      </c>
      <c r="J351" s="16">
        <f>IF(A351="","",MONTH(A351))</f>
        <v/>
      </c>
    </row>
    <row r="352">
      <c r="A352" s="11" t="n"/>
      <c r="B352" s="12" t="n"/>
      <c r="C352" s="12" t="n"/>
      <c r="D352" s="13" t="n"/>
      <c r="E352" s="12" t="n"/>
      <c r="F352" s="14">
        <f>IF(D352="","",IF(C352="Физлицо",0.04,0.06))</f>
        <v/>
      </c>
      <c r="G352" s="15">
        <f>IF(D352="","",MIN(MAX(Старт!$B$6-SUM(G$1:G351),0),D352*IF(C352="Физлицо",0.01,0.02)))</f>
        <v/>
      </c>
      <c r="H352" s="15">
        <f>IF(D352="","",D352*F352-G352)</f>
        <v/>
      </c>
      <c r="I352" s="16">
        <f>IF(A352="","",YEAR(A352))</f>
        <v/>
      </c>
      <c r="J352" s="16">
        <f>IF(A352="","",MONTH(A352))</f>
        <v/>
      </c>
    </row>
    <row r="353">
      <c r="A353" s="11" t="n"/>
      <c r="B353" s="12" t="n"/>
      <c r="C353" s="12" t="n"/>
      <c r="D353" s="13" t="n"/>
      <c r="E353" s="12" t="n"/>
      <c r="F353" s="14">
        <f>IF(D353="","",IF(C353="Физлицо",0.04,0.06))</f>
        <v/>
      </c>
      <c r="G353" s="15">
        <f>IF(D353="","",MIN(MAX(Старт!$B$6-SUM(G$1:G352),0),D353*IF(C353="Физлицо",0.01,0.02)))</f>
        <v/>
      </c>
      <c r="H353" s="15">
        <f>IF(D353="","",D353*F353-G353)</f>
        <v/>
      </c>
      <c r="I353" s="16">
        <f>IF(A353="","",YEAR(A353))</f>
        <v/>
      </c>
      <c r="J353" s="16">
        <f>IF(A353="","",MONTH(A353))</f>
        <v/>
      </c>
    </row>
    <row r="354">
      <c r="A354" s="11" t="n"/>
      <c r="B354" s="12" t="n"/>
      <c r="C354" s="12" t="n"/>
      <c r="D354" s="13" t="n"/>
      <c r="E354" s="12" t="n"/>
      <c r="F354" s="14">
        <f>IF(D354="","",IF(C354="Физлицо",0.04,0.06))</f>
        <v/>
      </c>
      <c r="G354" s="15">
        <f>IF(D354="","",MIN(MAX(Старт!$B$6-SUM(G$1:G353),0),D354*IF(C354="Физлицо",0.01,0.02)))</f>
        <v/>
      </c>
      <c r="H354" s="15">
        <f>IF(D354="","",D354*F354-G354)</f>
        <v/>
      </c>
      <c r="I354" s="16">
        <f>IF(A354="","",YEAR(A354))</f>
        <v/>
      </c>
      <c r="J354" s="16">
        <f>IF(A354="","",MONTH(A354))</f>
        <v/>
      </c>
    </row>
    <row r="355">
      <c r="A355" s="11" t="n"/>
      <c r="B355" s="12" t="n"/>
      <c r="C355" s="12" t="n"/>
      <c r="D355" s="13" t="n"/>
      <c r="E355" s="12" t="n"/>
      <c r="F355" s="14">
        <f>IF(D355="","",IF(C355="Физлицо",0.04,0.06))</f>
        <v/>
      </c>
      <c r="G355" s="15">
        <f>IF(D355="","",MIN(MAX(Старт!$B$6-SUM(G$1:G354),0),D355*IF(C355="Физлицо",0.01,0.02)))</f>
        <v/>
      </c>
      <c r="H355" s="15">
        <f>IF(D355="","",D355*F355-G355)</f>
        <v/>
      </c>
      <c r="I355" s="16">
        <f>IF(A355="","",YEAR(A355))</f>
        <v/>
      </c>
      <c r="J355" s="16">
        <f>IF(A355="","",MONTH(A355))</f>
        <v/>
      </c>
    </row>
    <row r="356">
      <c r="A356" s="11" t="n"/>
      <c r="B356" s="12" t="n"/>
      <c r="C356" s="12" t="n"/>
      <c r="D356" s="13" t="n"/>
      <c r="E356" s="12" t="n"/>
      <c r="F356" s="14">
        <f>IF(D356="","",IF(C356="Физлицо",0.04,0.06))</f>
        <v/>
      </c>
      <c r="G356" s="15">
        <f>IF(D356="","",MIN(MAX(Старт!$B$6-SUM(G$1:G355),0),D356*IF(C356="Физлицо",0.01,0.02)))</f>
        <v/>
      </c>
      <c r="H356" s="15">
        <f>IF(D356="","",D356*F356-G356)</f>
        <v/>
      </c>
      <c r="I356" s="16">
        <f>IF(A356="","",YEAR(A356))</f>
        <v/>
      </c>
      <c r="J356" s="16">
        <f>IF(A356="","",MONTH(A356))</f>
        <v/>
      </c>
    </row>
    <row r="357">
      <c r="A357" s="11" t="n"/>
      <c r="B357" s="12" t="n"/>
      <c r="C357" s="12" t="n"/>
      <c r="D357" s="13" t="n"/>
      <c r="E357" s="12" t="n"/>
      <c r="F357" s="14">
        <f>IF(D357="","",IF(C357="Физлицо",0.04,0.06))</f>
        <v/>
      </c>
      <c r="G357" s="15">
        <f>IF(D357="","",MIN(MAX(Старт!$B$6-SUM(G$1:G356),0),D357*IF(C357="Физлицо",0.01,0.02)))</f>
        <v/>
      </c>
      <c r="H357" s="15">
        <f>IF(D357="","",D357*F357-G357)</f>
        <v/>
      </c>
      <c r="I357" s="16">
        <f>IF(A357="","",YEAR(A357))</f>
        <v/>
      </c>
      <c r="J357" s="16">
        <f>IF(A357="","",MONTH(A357))</f>
        <v/>
      </c>
    </row>
    <row r="358">
      <c r="A358" s="11" t="n"/>
      <c r="B358" s="12" t="n"/>
      <c r="C358" s="12" t="n"/>
      <c r="D358" s="13" t="n"/>
      <c r="E358" s="12" t="n"/>
      <c r="F358" s="14">
        <f>IF(D358="","",IF(C358="Физлицо",0.04,0.06))</f>
        <v/>
      </c>
      <c r="G358" s="15">
        <f>IF(D358="","",MIN(MAX(Старт!$B$6-SUM(G$1:G357),0),D358*IF(C358="Физлицо",0.01,0.02)))</f>
        <v/>
      </c>
      <c r="H358" s="15">
        <f>IF(D358="","",D358*F358-G358)</f>
        <v/>
      </c>
      <c r="I358" s="16">
        <f>IF(A358="","",YEAR(A358))</f>
        <v/>
      </c>
      <c r="J358" s="16">
        <f>IF(A358="","",MONTH(A358))</f>
        <v/>
      </c>
    </row>
    <row r="359">
      <c r="A359" s="11" t="n"/>
      <c r="B359" s="12" t="n"/>
      <c r="C359" s="12" t="n"/>
      <c r="D359" s="13" t="n"/>
      <c r="E359" s="12" t="n"/>
      <c r="F359" s="14">
        <f>IF(D359="","",IF(C359="Физлицо",0.04,0.06))</f>
        <v/>
      </c>
      <c r="G359" s="15">
        <f>IF(D359="","",MIN(MAX(Старт!$B$6-SUM(G$1:G358),0),D359*IF(C359="Физлицо",0.01,0.02)))</f>
        <v/>
      </c>
      <c r="H359" s="15">
        <f>IF(D359="","",D359*F359-G359)</f>
        <v/>
      </c>
      <c r="I359" s="16">
        <f>IF(A359="","",YEAR(A359))</f>
        <v/>
      </c>
      <c r="J359" s="16">
        <f>IF(A359="","",MONTH(A359))</f>
        <v/>
      </c>
    </row>
    <row r="360">
      <c r="A360" s="11" t="n"/>
      <c r="B360" s="12" t="n"/>
      <c r="C360" s="12" t="n"/>
      <c r="D360" s="13" t="n"/>
      <c r="E360" s="12" t="n"/>
      <c r="F360" s="14">
        <f>IF(D360="","",IF(C360="Физлицо",0.04,0.06))</f>
        <v/>
      </c>
      <c r="G360" s="15">
        <f>IF(D360="","",MIN(MAX(Старт!$B$6-SUM(G$1:G359),0),D360*IF(C360="Физлицо",0.01,0.02)))</f>
        <v/>
      </c>
      <c r="H360" s="15">
        <f>IF(D360="","",D360*F360-G360)</f>
        <v/>
      </c>
      <c r="I360" s="16">
        <f>IF(A360="","",YEAR(A360))</f>
        <v/>
      </c>
      <c r="J360" s="16">
        <f>IF(A360="","",MONTH(A360))</f>
        <v/>
      </c>
    </row>
    <row r="361">
      <c r="A361" s="11" t="n"/>
      <c r="B361" s="12" t="n"/>
      <c r="C361" s="12" t="n"/>
      <c r="D361" s="13" t="n"/>
      <c r="E361" s="12" t="n"/>
      <c r="F361" s="14">
        <f>IF(D361="","",IF(C361="Физлицо",0.04,0.06))</f>
        <v/>
      </c>
      <c r="G361" s="15">
        <f>IF(D361="","",MIN(MAX(Старт!$B$6-SUM(G$1:G360),0),D361*IF(C361="Физлицо",0.01,0.02)))</f>
        <v/>
      </c>
      <c r="H361" s="15">
        <f>IF(D361="","",D361*F361-G361)</f>
        <v/>
      </c>
      <c r="I361" s="16">
        <f>IF(A361="","",YEAR(A361))</f>
        <v/>
      </c>
      <c r="J361" s="16">
        <f>IF(A361="","",MONTH(A361))</f>
        <v/>
      </c>
    </row>
    <row r="362">
      <c r="A362" s="11" t="n"/>
      <c r="B362" s="12" t="n"/>
      <c r="C362" s="12" t="n"/>
      <c r="D362" s="13" t="n"/>
      <c r="E362" s="12" t="n"/>
      <c r="F362" s="14">
        <f>IF(D362="","",IF(C362="Физлицо",0.04,0.06))</f>
        <v/>
      </c>
      <c r="G362" s="15">
        <f>IF(D362="","",MIN(MAX(Старт!$B$6-SUM(G$1:G361),0),D362*IF(C362="Физлицо",0.01,0.02)))</f>
        <v/>
      </c>
      <c r="H362" s="15">
        <f>IF(D362="","",D362*F362-G362)</f>
        <v/>
      </c>
      <c r="I362" s="16">
        <f>IF(A362="","",YEAR(A362))</f>
        <v/>
      </c>
      <c r="J362" s="16">
        <f>IF(A362="","",MONTH(A362))</f>
        <v/>
      </c>
    </row>
    <row r="363">
      <c r="A363" s="11" t="n"/>
      <c r="B363" s="12" t="n"/>
      <c r="C363" s="12" t="n"/>
      <c r="D363" s="13" t="n"/>
      <c r="E363" s="12" t="n"/>
      <c r="F363" s="14">
        <f>IF(D363="","",IF(C363="Физлицо",0.04,0.06))</f>
        <v/>
      </c>
      <c r="G363" s="15">
        <f>IF(D363="","",MIN(MAX(Старт!$B$6-SUM(G$1:G362),0),D363*IF(C363="Физлицо",0.01,0.02)))</f>
        <v/>
      </c>
      <c r="H363" s="15">
        <f>IF(D363="","",D363*F363-G363)</f>
        <v/>
      </c>
      <c r="I363" s="16">
        <f>IF(A363="","",YEAR(A363))</f>
        <v/>
      </c>
      <c r="J363" s="16">
        <f>IF(A363="","",MONTH(A363))</f>
        <v/>
      </c>
    </row>
    <row r="364">
      <c r="A364" s="11" t="n"/>
      <c r="B364" s="12" t="n"/>
      <c r="C364" s="12" t="n"/>
      <c r="D364" s="13" t="n"/>
      <c r="E364" s="12" t="n"/>
      <c r="F364" s="14">
        <f>IF(D364="","",IF(C364="Физлицо",0.04,0.06))</f>
        <v/>
      </c>
      <c r="G364" s="15">
        <f>IF(D364="","",MIN(MAX(Старт!$B$6-SUM(G$1:G363),0),D364*IF(C364="Физлицо",0.01,0.02)))</f>
        <v/>
      </c>
      <c r="H364" s="15">
        <f>IF(D364="","",D364*F364-G364)</f>
        <v/>
      </c>
      <c r="I364" s="16">
        <f>IF(A364="","",YEAR(A364))</f>
        <v/>
      </c>
      <c r="J364" s="16">
        <f>IF(A364="","",MONTH(A364))</f>
        <v/>
      </c>
    </row>
    <row r="365">
      <c r="A365" s="11" t="n"/>
      <c r="B365" s="12" t="n"/>
      <c r="C365" s="12" t="n"/>
      <c r="D365" s="13" t="n"/>
      <c r="E365" s="12" t="n"/>
      <c r="F365" s="14">
        <f>IF(D365="","",IF(C365="Физлицо",0.04,0.06))</f>
        <v/>
      </c>
      <c r="G365" s="15">
        <f>IF(D365="","",MIN(MAX(Старт!$B$6-SUM(G$1:G364),0),D365*IF(C365="Физлицо",0.01,0.02)))</f>
        <v/>
      </c>
      <c r="H365" s="15">
        <f>IF(D365="","",D365*F365-G365)</f>
        <v/>
      </c>
      <c r="I365" s="16">
        <f>IF(A365="","",YEAR(A365))</f>
        <v/>
      </c>
      <c r="J365" s="16">
        <f>IF(A365="","",MONTH(A365))</f>
        <v/>
      </c>
    </row>
    <row r="366">
      <c r="A366" s="11" t="n"/>
      <c r="B366" s="12" t="n"/>
      <c r="C366" s="12" t="n"/>
      <c r="D366" s="13" t="n"/>
      <c r="E366" s="12" t="n"/>
      <c r="F366" s="14">
        <f>IF(D366="","",IF(C366="Физлицо",0.04,0.06))</f>
        <v/>
      </c>
      <c r="G366" s="15">
        <f>IF(D366="","",MIN(MAX(Старт!$B$6-SUM(G$1:G365),0),D366*IF(C366="Физлицо",0.01,0.02)))</f>
        <v/>
      </c>
      <c r="H366" s="15">
        <f>IF(D366="","",D366*F366-G366)</f>
        <v/>
      </c>
      <c r="I366" s="16">
        <f>IF(A366="","",YEAR(A366))</f>
        <v/>
      </c>
      <c r="J366" s="16">
        <f>IF(A366="","",MONTH(A366))</f>
        <v/>
      </c>
    </row>
    <row r="367">
      <c r="A367" s="11" t="n"/>
      <c r="B367" s="12" t="n"/>
      <c r="C367" s="12" t="n"/>
      <c r="D367" s="13" t="n"/>
      <c r="E367" s="12" t="n"/>
      <c r="F367" s="14">
        <f>IF(D367="","",IF(C367="Физлицо",0.04,0.06))</f>
        <v/>
      </c>
      <c r="G367" s="15">
        <f>IF(D367="","",MIN(MAX(Старт!$B$6-SUM(G$1:G366),0),D367*IF(C367="Физлицо",0.01,0.02)))</f>
        <v/>
      </c>
      <c r="H367" s="15">
        <f>IF(D367="","",D367*F367-G367)</f>
        <v/>
      </c>
      <c r="I367" s="16">
        <f>IF(A367="","",YEAR(A367))</f>
        <v/>
      </c>
      <c r="J367" s="16">
        <f>IF(A367="","",MONTH(A367))</f>
        <v/>
      </c>
    </row>
    <row r="368">
      <c r="A368" s="11" t="n"/>
      <c r="B368" s="12" t="n"/>
      <c r="C368" s="12" t="n"/>
      <c r="D368" s="13" t="n"/>
      <c r="E368" s="12" t="n"/>
      <c r="F368" s="14">
        <f>IF(D368="","",IF(C368="Физлицо",0.04,0.06))</f>
        <v/>
      </c>
      <c r="G368" s="15">
        <f>IF(D368="","",MIN(MAX(Старт!$B$6-SUM(G$1:G367),0),D368*IF(C368="Физлицо",0.01,0.02)))</f>
        <v/>
      </c>
      <c r="H368" s="15">
        <f>IF(D368="","",D368*F368-G368)</f>
        <v/>
      </c>
      <c r="I368" s="16">
        <f>IF(A368="","",YEAR(A368))</f>
        <v/>
      </c>
      <c r="J368" s="16">
        <f>IF(A368="","",MONTH(A368))</f>
        <v/>
      </c>
    </row>
    <row r="369">
      <c r="A369" s="11" t="n"/>
      <c r="B369" s="12" t="n"/>
      <c r="C369" s="12" t="n"/>
      <c r="D369" s="13" t="n"/>
      <c r="E369" s="12" t="n"/>
      <c r="F369" s="14">
        <f>IF(D369="","",IF(C369="Физлицо",0.04,0.06))</f>
        <v/>
      </c>
      <c r="G369" s="15">
        <f>IF(D369="","",MIN(MAX(Старт!$B$6-SUM(G$1:G368),0),D369*IF(C369="Физлицо",0.01,0.02)))</f>
        <v/>
      </c>
      <c r="H369" s="15">
        <f>IF(D369="","",D369*F369-G369)</f>
        <v/>
      </c>
      <c r="I369" s="16">
        <f>IF(A369="","",YEAR(A369))</f>
        <v/>
      </c>
      <c r="J369" s="16">
        <f>IF(A369="","",MONTH(A369))</f>
        <v/>
      </c>
    </row>
    <row r="370">
      <c r="A370" s="11" t="n"/>
      <c r="B370" s="12" t="n"/>
      <c r="C370" s="12" t="n"/>
      <c r="D370" s="13" t="n"/>
      <c r="E370" s="12" t="n"/>
      <c r="F370" s="14">
        <f>IF(D370="","",IF(C370="Физлицо",0.04,0.06))</f>
        <v/>
      </c>
      <c r="G370" s="15">
        <f>IF(D370="","",MIN(MAX(Старт!$B$6-SUM(G$1:G369),0),D370*IF(C370="Физлицо",0.01,0.02)))</f>
        <v/>
      </c>
      <c r="H370" s="15">
        <f>IF(D370="","",D370*F370-G370)</f>
        <v/>
      </c>
      <c r="I370" s="16">
        <f>IF(A370="","",YEAR(A370))</f>
        <v/>
      </c>
      <c r="J370" s="16">
        <f>IF(A370="","",MONTH(A370))</f>
        <v/>
      </c>
    </row>
    <row r="371">
      <c r="A371" s="11" t="n"/>
      <c r="B371" s="12" t="n"/>
      <c r="C371" s="12" t="n"/>
      <c r="D371" s="13" t="n"/>
      <c r="E371" s="12" t="n"/>
      <c r="F371" s="14">
        <f>IF(D371="","",IF(C371="Физлицо",0.04,0.06))</f>
        <v/>
      </c>
      <c r="G371" s="15">
        <f>IF(D371="","",MIN(MAX(Старт!$B$6-SUM(G$1:G370),0),D371*IF(C371="Физлицо",0.01,0.02)))</f>
        <v/>
      </c>
      <c r="H371" s="15">
        <f>IF(D371="","",D371*F371-G371)</f>
        <v/>
      </c>
      <c r="I371" s="16">
        <f>IF(A371="","",YEAR(A371))</f>
        <v/>
      </c>
      <c r="J371" s="16">
        <f>IF(A371="","",MONTH(A371))</f>
        <v/>
      </c>
    </row>
    <row r="372">
      <c r="A372" s="11" t="n"/>
      <c r="B372" s="12" t="n"/>
      <c r="C372" s="12" t="n"/>
      <c r="D372" s="13" t="n"/>
      <c r="E372" s="12" t="n"/>
      <c r="F372" s="14">
        <f>IF(D372="","",IF(C372="Физлицо",0.04,0.06))</f>
        <v/>
      </c>
      <c r="G372" s="15">
        <f>IF(D372="","",MIN(MAX(Старт!$B$6-SUM(G$1:G371),0),D372*IF(C372="Физлицо",0.01,0.02)))</f>
        <v/>
      </c>
      <c r="H372" s="15">
        <f>IF(D372="","",D372*F372-G372)</f>
        <v/>
      </c>
      <c r="I372" s="16">
        <f>IF(A372="","",YEAR(A372))</f>
        <v/>
      </c>
      <c r="J372" s="16">
        <f>IF(A372="","",MONTH(A372))</f>
        <v/>
      </c>
    </row>
    <row r="373">
      <c r="A373" s="11" t="n"/>
      <c r="B373" s="12" t="n"/>
      <c r="C373" s="12" t="n"/>
      <c r="D373" s="13" t="n"/>
      <c r="E373" s="12" t="n"/>
      <c r="F373" s="14">
        <f>IF(D373="","",IF(C373="Физлицо",0.04,0.06))</f>
        <v/>
      </c>
      <c r="G373" s="15">
        <f>IF(D373="","",MIN(MAX(Старт!$B$6-SUM(G$1:G372),0),D373*IF(C373="Физлицо",0.01,0.02)))</f>
        <v/>
      </c>
      <c r="H373" s="15">
        <f>IF(D373="","",D373*F373-G373)</f>
        <v/>
      </c>
      <c r="I373" s="16">
        <f>IF(A373="","",YEAR(A373))</f>
        <v/>
      </c>
      <c r="J373" s="16">
        <f>IF(A373="","",MONTH(A373))</f>
        <v/>
      </c>
    </row>
    <row r="374">
      <c r="A374" s="11" t="n"/>
      <c r="B374" s="12" t="n"/>
      <c r="C374" s="12" t="n"/>
      <c r="D374" s="13" t="n"/>
      <c r="E374" s="12" t="n"/>
      <c r="F374" s="14">
        <f>IF(D374="","",IF(C374="Физлицо",0.04,0.06))</f>
        <v/>
      </c>
      <c r="G374" s="15">
        <f>IF(D374="","",MIN(MAX(Старт!$B$6-SUM(G$1:G373),0),D374*IF(C374="Физлицо",0.01,0.02)))</f>
        <v/>
      </c>
      <c r="H374" s="15">
        <f>IF(D374="","",D374*F374-G374)</f>
        <v/>
      </c>
      <c r="I374" s="16">
        <f>IF(A374="","",YEAR(A374))</f>
        <v/>
      </c>
      <c r="J374" s="16">
        <f>IF(A374="","",MONTH(A374))</f>
        <v/>
      </c>
    </row>
    <row r="375">
      <c r="A375" s="11" t="n"/>
      <c r="B375" s="12" t="n"/>
      <c r="C375" s="12" t="n"/>
      <c r="D375" s="13" t="n"/>
      <c r="E375" s="12" t="n"/>
      <c r="F375" s="14">
        <f>IF(D375="","",IF(C375="Физлицо",0.04,0.06))</f>
        <v/>
      </c>
      <c r="G375" s="15">
        <f>IF(D375="","",MIN(MAX(Старт!$B$6-SUM(G$1:G374),0),D375*IF(C375="Физлицо",0.01,0.02)))</f>
        <v/>
      </c>
      <c r="H375" s="15">
        <f>IF(D375="","",D375*F375-G375)</f>
        <v/>
      </c>
      <c r="I375" s="16">
        <f>IF(A375="","",YEAR(A375))</f>
        <v/>
      </c>
      <c r="J375" s="16">
        <f>IF(A375="","",MONTH(A375))</f>
        <v/>
      </c>
    </row>
    <row r="376">
      <c r="A376" s="11" t="n"/>
      <c r="B376" s="12" t="n"/>
      <c r="C376" s="12" t="n"/>
      <c r="D376" s="13" t="n"/>
      <c r="E376" s="12" t="n"/>
      <c r="F376" s="14">
        <f>IF(D376="","",IF(C376="Физлицо",0.04,0.06))</f>
        <v/>
      </c>
      <c r="G376" s="15">
        <f>IF(D376="","",MIN(MAX(Старт!$B$6-SUM(G$1:G375),0),D376*IF(C376="Физлицо",0.01,0.02)))</f>
        <v/>
      </c>
      <c r="H376" s="15">
        <f>IF(D376="","",D376*F376-G376)</f>
        <v/>
      </c>
      <c r="I376" s="16">
        <f>IF(A376="","",YEAR(A376))</f>
        <v/>
      </c>
      <c r="J376" s="16">
        <f>IF(A376="","",MONTH(A376))</f>
        <v/>
      </c>
    </row>
    <row r="377">
      <c r="A377" s="11" t="n"/>
      <c r="B377" s="12" t="n"/>
      <c r="C377" s="12" t="n"/>
      <c r="D377" s="13" t="n"/>
      <c r="E377" s="12" t="n"/>
      <c r="F377" s="14">
        <f>IF(D377="","",IF(C377="Физлицо",0.04,0.06))</f>
        <v/>
      </c>
      <c r="G377" s="15">
        <f>IF(D377="","",MIN(MAX(Старт!$B$6-SUM(G$1:G376),0),D377*IF(C377="Физлицо",0.01,0.02)))</f>
        <v/>
      </c>
      <c r="H377" s="15">
        <f>IF(D377="","",D377*F377-G377)</f>
        <v/>
      </c>
      <c r="I377" s="16">
        <f>IF(A377="","",YEAR(A377))</f>
        <v/>
      </c>
      <c r="J377" s="16">
        <f>IF(A377="","",MONTH(A377))</f>
        <v/>
      </c>
    </row>
    <row r="378">
      <c r="A378" s="11" t="n"/>
      <c r="B378" s="12" t="n"/>
      <c r="C378" s="12" t="n"/>
      <c r="D378" s="13" t="n"/>
      <c r="E378" s="12" t="n"/>
      <c r="F378" s="14">
        <f>IF(D378="","",IF(C378="Физлицо",0.04,0.06))</f>
        <v/>
      </c>
      <c r="G378" s="15">
        <f>IF(D378="","",MIN(MAX(Старт!$B$6-SUM(G$1:G377),0),D378*IF(C378="Физлицо",0.01,0.02)))</f>
        <v/>
      </c>
      <c r="H378" s="15">
        <f>IF(D378="","",D378*F378-G378)</f>
        <v/>
      </c>
      <c r="I378" s="16">
        <f>IF(A378="","",YEAR(A378))</f>
        <v/>
      </c>
      <c r="J378" s="16">
        <f>IF(A378="","",MONTH(A378))</f>
        <v/>
      </c>
    </row>
    <row r="379">
      <c r="A379" s="11" t="n"/>
      <c r="B379" s="12" t="n"/>
      <c r="C379" s="12" t="n"/>
      <c r="D379" s="13" t="n"/>
      <c r="E379" s="12" t="n"/>
      <c r="F379" s="14">
        <f>IF(D379="","",IF(C379="Физлицо",0.04,0.06))</f>
        <v/>
      </c>
      <c r="G379" s="15">
        <f>IF(D379="","",MIN(MAX(Старт!$B$6-SUM(G$1:G378),0),D379*IF(C379="Физлицо",0.01,0.02)))</f>
        <v/>
      </c>
      <c r="H379" s="15">
        <f>IF(D379="","",D379*F379-G379)</f>
        <v/>
      </c>
      <c r="I379" s="16">
        <f>IF(A379="","",YEAR(A379))</f>
        <v/>
      </c>
      <c r="J379" s="16">
        <f>IF(A379="","",MONTH(A379))</f>
        <v/>
      </c>
    </row>
    <row r="380">
      <c r="A380" s="11" t="n"/>
      <c r="B380" s="12" t="n"/>
      <c r="C380" s="12" t="n"/>
      <c r="D380" s="13" t="n"/>
      <c r="E380" s="12" t="n"/>
      <c r="F380" s="14">
        <f>IF(D380="","",IF(C380="Физлицо",0.04,0.06))</f>
        <v/>
      </c>
      <c r="G380" s="15">
        <f>IF(D380="","",MIN(MAX(Старт!$B$6-SUM(G$1:G379),0),D380*IF(C380="Физлицо",0.01,0.02)))</f>
        <v/>
      </c>
      <c r="H380" s="15">
        <f>IF(D380="","",D380*F380-G380)</f>
        <v/>
      </c>
      <c r="I380" s="16">
        <f>IF(A380="","",YEAR(A380))</f>
        <v/>
      </c>
      <c r="J380" s="16">
        <f>IF(A380="","",MONTH(A380))</f>
        <v/>
      </c>
    </row>
    <row r="381">
      <c r="A381" s="11" t="n"/>
      <c r="B381" s="12" t="n"/>
      <c r="C381" s="12" t="n"/>
      <c r="D381" s="13" t="n"/>
      <c r="E381" s="12" t="n"/>
      <c r="F381" s="14">
        <f>IF(D381="","",IF(C381="Физлицо",0.04,0.06))</f>
        <v/>
      </c>
      <c r="G381" s="15">
        <f>IF(D381="","",MIN(MAX(Старт!$B$6-SUM(G$1:G380),0),D381*IF(C381="Физлицо",0.01,0.02)))</f>
        <v/>
      </c>
      <c r="H381" s="15">
        <f>IF(D381="","",D381*F381-G381)</f>
        <v/>
      </c>
      <c r="I381" s="16">
        <f>IF(A381="","",YEAR(A381))</f>
        <v/>
      </c>
      <c r="J381" s="16">
        <f>IF(A381="","",MONTH(A381))</f>
        <v/>
      </c>
    </row>
    <row r="382">
      <c r="A382" s="11" t="n"/>
      <c r="B382" s="12" t="n"/>
      <c r="C382" s="12" t="n"/>
      <c r="D382" s="13" t="n"/>
      <c r="E382" s="12" t="n"/>
      <c r="F382" s="14">
        <f>IF(D382="","",IF(C382="Физлицо",0.04,0.06))</f>
        <v/>
      </c>
      <c r="G382" s="15">
        <f>IF(D382="","",MIN(MAX(Старт!$B$6-SUM(G$1:G381),0),D382*IF(C382="Физлицо",0.01,0.02)))</f>
        <v/>
      </c>
      <c r="H382" s="15">
        <f>IF(D382="","",D382*F382-G382)</f>
        <v/>
      </c>
      <c r="I382" s="16">
        <f>IF(A382="","",YEAR(A382))</f>
        <v/>
      </c>
      <c r="J382" s="16">
        <f>IF(A382="","",MONTH(A382))</f>
        <v/>
      </c>
    </row>
    <row r="383">
      <c r="A383" s="11" t="n"/>
      <c r="B383" s="12" t="n"/>
      <c r="C383" s="12" t="n"/>
      <c r="D383" s="13" t="n"/>
      <c r="E383" s="12" t="n"/>
      <c r="F383" s="14">
        <f>IF(D383="","",IF(C383="Физлицо",0.04,0.06))</f>
        <v/>
      </c>
      <c r="G383" s="15">
        <f>IF(D383="","",MIN(MAX(Старт!$B$6-SUM(G$1:G382),0),D383*IF(C383="Физлицо",0.01,0.02)))</f>
        <v/>
      </c>
      <c r="H383" s="15">
        <f>IF(D383="","",D383*F383-G383)</f>
        <v/>
      </c>
      <c r="I383" s="16">
        <f>IF(A383="","",YEAR(A383))</f>
        <v/>
      </c>
      <c r="J383" s="16">
        <f>IF(A383="","",MONTH(A383))</f>
        <v/>
      </c>
    </row>
    <row r="384">
      <c r="A384" s="11" t="n"/>
      <c r="B384" s="12" t="n"/>
      <c r="C384" s="12" t="n"/>
      <c r="D384" s="13" t="n"/>
      <c r="E384" s="12" t="n"/>
      <c r="F384" s="14">
        <f>IF(D384="","",IF(C384="Физлицо",0.04,0.06))</f>
        <v/>
      </c>
      <c r="G384" s="15">
        <f>IF(D384="","",MIN(MAX(Старт!$B$6-SUM(G$1:G383),0),D384*IF(C384="Физлицо",0.01,0.02)))</f>
        <v/>
      </c>
      <c r="H384" s="15">
        <f>IF(D384="","",D384*F384-G384)</f>
        <v/>
      </c>
      <c r="I384" s="16">
        <f>IF(A384="","",YEAR(A384))</f>
        <v/>
      </c>
      <c r="J384" s="16">
        <f>IF(A384="","",MONTH(A384))</f>
        <v/>
      </c>
    </row>
    <row r="385">
      <c r="A385" s="11" t="n"/>
      <c r="B385" s="12" t="n"/>
      <c r="C385" s="12" t="n"/>
      <c r="D385" s="13" t="n"/>
      <c r="E385" s="12" t="n"/>
      <c r="F385" s="14">
        <f>IF(D385="","",IF(C385="Физлицо",0.04,0.06))</f>
        <v/>
      </c>
      <c r="G385" s="15">
        <f>IF(D385="","",MIN(MAX(Старт!$B$6-SUM(G$1:G384),0),D385*IF(C385="Физлицо",0.01,0.02)))</f>
        <v/>
      </c>
      <c r="H385" s="15">
        <f>IF(D385="","",D385*F385-G385)</f>
        <v/>
      </c>
      <c r="I385" s="16">
        <f>IF(A385="","",YEAR(A385))</f>
        <v/>
      </c>
      <c r="J385" s="16">
        <f>IF(A385="","",MONTH(A385))</f>
        <v/>
      </c>
    </row>
    <row r="386">
      <c r="A386" s="11" t="n"/>
      <c r="B386" s="12" t="n"/>
      <c r="C386" s="12" t="n"/>
      <c r="D386" s="13" t="n"/>
      <c r="E386" s="12" t="n"/>
      <c r="F386" s="14">
        <f>IF(D386="","",IF(C386="Физлицо",0.04,0.06))</f>
        <v/>
      </c>
      <c r="G386" s="15">
        <f>IF(D386="","",MIN(MAX(Старт!$B$6-SUM(G$1:G385),0),D386*IF(C386="Физлицо",0.01,0.02)))</f>
        <v/>
      </c>
      <c r="H386" s="15">
        <f>IF(D386="","",D386*F386-G386)</f>
        <v/>
      </c>
      <c r="I386" s="16">
        <f>IF(A386="","",YEAR(A386))</f>
        <v/>
      </c>
      <c r="J386" s="16">
        <f>IF(A386="","",MONTH(A386))</f>
        <v/>
      </c>
    </row>
    <row r="387">
      <c r="A387" s="11" t="n"/>
      <c r="B387" s="12" t="n"/>
      <c r="C387" s="12" t="n"/>
      <c r="D387" s="13" t="n"/>
      <c r="E387" s="12" t="n"/>
      <c r="F387" s="14">
        <f>IF(D387="","",IF(C387="Физлицо",0.04,0.06))</f>
        <v/>
      </c>
      <c r="G387" s="15">
        <f>IF(D387="","",MIN(MAX(Старт!$B$6-SUM(G$1:G386),0),D387*IF(C387="Физлицо",0.01,0.02)))</f>
        <v/>
      </c>
      <c r="H387" s="15">
        <f>IF(D387="","",D387*F387-G387)</f>
        <v/>
      </c>
      <c r="I387" s="16">
        <f>IF(A387="","",YEAR(A387))</f>
        <v/>
      </c>
      <c r="J387" s="16">
        <f>IF(A387="","",MONTH(A387))</f>
        <v/>
      </c>
    </row>
    <row r="388">
      <c r="A388" s="11" t="n"/>
      <c r="B388" s="12" t="n"/>
      <c r="C388" s="12" t="n"/>
      <c r="D388" s="13" t="n"/>
      <c r="E388" s="12" t="n"/>
      <c r="F388" s="14">
        <f>IF(D388="","",IF(C388="Физлицо",0.04,0.06))</f>
        <v/>
      </c>
      <c r="G388" s="15">
        <f>IF(D388="","",MIN(MAX(Старт!$B$6-SUM(G$1:G387),0),D388*IF(C388="Физлицо",0.01,0.02)))</f>
        <v/>
      </c>
      <c r="H388" s="15">
        <f>IF(D388="","",D388*F388-G388)</f>
        <v/>
      </c>
      <c r="I388" s="16">
        <f>IF(A388="","",YEAR(A388))</f>
        <v/>
      </c>
      <c r="J388" s="16">
        <f>IF(A388="","",MONTH(A388))</f>
        <v/>
      </c>
    </row>
    <row r="389">
      <c r="A389" s="11" t="n"/>
      <c r="B389" s="12" t="n"/>
      <c r="C389" s="12" t="n"/>
      <c r="D389" s="13" t="n"/>
      <c r="E389" s="12" t="n"/>
      <c r="F389" s="14">
        <f>IF(D389="","",IF(C389="Физлицо",0.04,0.06))</f>
        <v/>
      </c>
      <c r="G389" s="15">
        <f>IF(D389="","",MIN(MAX(Старт!$B$6-SUM(G$1:G388),0),D389*IF(C389="Физлицо",0.01,0.02)))</f>
        <v/>
      </c>
      <c r="H389" s="15">
        <f>IF(D389="","",D389*F389-G389)</f>
        <v/>
      </c>
      <c r="I389" s="16">
        <f>IF(A389="","",YEAR(A389))</f>
        <v/>
      </c>
      <c r="J389" s="16">
        <f>IF(A389="","",MONTH(A389))</f>
        <v/>
      </c>
    </row>
    <row r="390">
      <c r="A390" s="11" t="n"/>
      <c r="B390" s="12" t="n"/>
      <c r="C390" s="12" t="n"/>
      <c r="D390" s="13" t="n"/>
      <c r="E390" s="12" t="n"/>
      <c r="F390" s="14">
        <f>IF(D390="","",IF(C390="Физлицо",0.04,0.06))</f>
        <v/>
      </c>
      <c r="G390" s="15">
        <f>IF(D390="","",MIN(MAX(Старт!$B$6-SUM(G$1:G389),0),D390*IF(C390="Физлицо",0.01,0.02)))</f>
        <v/>
      </c>
      <c r="H390" s="15">
        <f>IF(D390="","",D390*F390-G390)</f>
        <v/>
      </c>
      <c r="I390" s="16">
        <f>IF(A390="","",YEAR(A390))</f>
        <v/>
      </c>
      <c r="J390" s="16">
        <f>IF(A390="","",MONTH(A390))</f>
        <v/>
      </c>
    </row>
    <row r="391">
      <c r="A391" s="11" t="n"/>
      <c r="B391" s="12" t="n"/>
      <c r="C391" s="12" t="n"/>
      <c r="D391" s="13" t="n"/>
      <c r="E391" s="12" t="n"/>
      <c r="F391" s="14">
        <f>IF(D391="","",IF(C391="Физлицо",0.04,0.06))</f>
        <v/>
      </c>
      <c r="G391" s="15">
        <f>IF(D391="","",MIN(MAX(Старт!$B$6-SUM(G$1:G390),0),D391*IF(C391="Физлицо",0.01,0.02)))</f>
        <v/>
      </c>
      <c r="H391" s="15">
        <f>IF(D391="","",D391*F391-G391)</f>
        <v/>
      </c>
      <c r="I391" s="16">
        <f>IF(A391="","",YEAR(A391))</f>
        <v/>
      </c>
      <c r="J391" s="16">
        <f>IF(A391="","",MONTH(A391))</f>
        <v/>
      </c>
    </row>
    <row r="392">
      <c r="A392" s="11" t="n"/>
      <c r="B392" s="12" t="n"/>
      <c r="C392" s="12" t="n"/>
      <c r="D392" s="13" t="n"/>
      <c r="E392" s="12" t="n"/>
      <c r="F392" s="14">
        <f>IF(D392="","",IF(C392="Физлицо",0.04,0.06))</f>
        <v/>
      </c>
      <c r="G392" s="15">
        <f>IF(D392="","",MIN(MAX(Старт!$B$6-SUM(G$1:G391),0),D392*IF(C392="Физлицо",0.01,0.02)))</f>
        <v/>
      </c>
      <c r="H392" s="15">
        <f>IF(D392="","",D392*F392-G392)</f>
        <v/>
      </c>
      <c r="I392" s="16">
        <f>IF(A392="","",YEAR(A392))</f>
        <v/>
      </c>
      <c r="J392" s="16">
        <f>IF(A392="","",MONTH(A392))</f>
        <v/>
      </c>
    </row>
    <row r="393">
      <c r="A393" s="11" t="n"/>
      <c r="B393" s="12" t="n"/>
      <c r="C393" s="12" t="n"/>
      <c r="D393" s="13" t="n"/>
      <c r="E393" s="12" t="n"/>
      <c r="F393" s="14">
        <f>IF(D393="","",IF(C393="Физлицо",0.04,0.06))</f>
        <v/>
      </c>
      <c r="G393" s="15">
        <f>IF(D393="","",MIN(MAX(Старт!$B$6-SUM(G$1:G392),0),D393*IF(C393="Физлицо",0.01,0.02)))</f>
        <v/>
      </c>
      <c r="H393" s="15">
        <f>IF(D393="","",D393*F393-G393)</f>
        <v/>
      </c>
      <c r="I393" s="16">
        <f>IF(A393="","",YEAR(A393))</f>
        <v/>
      </c>
      <c r="J393" s="16">
        <f>IF(A393="","",MONTH(A393))</f>
        <v/>
      </c>
    </row>
    <row r="394">
      <c r="A394" s="11" t="n"/>
      <c r="B394" s="12" t="n"/>
      <c r="C394" s="12" t="n"/>
      <c r="D394" s="13" t="n"/>
      <c r="E394" s="12" t="n"/>
      <c r="F394" s="14">
        <f>IF(D394="","",IF(C394="Физлицо",0.04,0.06))</f>
        <v/>
      </c>
      <c r="G394" s="15">
        <f>IF(D394="","",MIN(MAX(Старт!$B$6-SUM(G$1:G393),0),D394*IF(C394="Физлицо",0.01,0.02)))</f>
        <v/>
      </c>
      <c r="H394" s="15">
        <f>IF(D394="","",D394*F394-G394)</f>
        <v/>
      </c>
      <c r="I394" s="16">
        <f>IF(A394="","",YEAR(A394))</f>
        <v/>
      </c>
      <c r="J394" s="16">
        <f>IF(A394="","",MONTH(A394))</f>
        <v/>
      </c>
    </row>
    <row r="395">
      <c r="A395" s="11" t="n"/>
      <c r="B395" s="12" t="n"/>
      <c r="C395" s="12" t="n"/>
      <c r="D395" s="13" t="n"/>
      <c r="E395" s="12" t="n"/>
      <c r="F395" s="14">
        <f>IF(D395="","",IF(C395="Физлицо",0.04,0.06))</f>
        <v/>
      </c>
      <c r="G395" s="15">
        <f>IF(D395="","",MIN(MAX(Старт!$B$6-SUM(G$1:G394),0),D395*IF(C395="Физлицо",0.01,0.02)))</f>
        <v/>
      </c>
      <c r="H395" s="15">
        <f>IF(D395="","",D395*F395-G395)</f>
        <v/>
      </c>
      <c r="I395" s="16">
        <f>IF(A395="","",YEAR(A395))</f>
        <v/>
      </c>
      <c r="J395" s="16">
        <f>IF(A395="","",MONTH(A395))</f>
        <v/>
      </c>
    </row>
    <row r="396">
      <c r="A396" s="11" t="n"/>
      <c r="B396" s="12" t="n"/>
      <c r="C396" s="12" t="n"/>
      <c r="D396" s="13" t="n"/>
      <c r="E396" s="12" t="n"/>
      <c r="F396" s="14">
        <f>IF(D396="","",IF(C396="Физлицо",0.04,0.06))</f>
        <v/>
      </c>
      <c r="G396" s="15">
        <f>IF(D396="","",MIN(MAX(Старт!$B$6-SUM(G$1:G395),0),D396*IF(C396="Физлицо",0.01,0.02)))</f>
        <v/>
      </c>
      <c r="H396" s="15">
        <f>IF(D396="","",D396*F396-G396)</f>
        <v/>
      </c>
      <c r="I396" s="16">
        <f>IF(A396="","",YEAR(A396))</f>
        <v/>
      </c>
      <c r="J396" s="16">
        <f>IF(A396="","",MONTH(A396))</f>
        <v/>
      </c>
    </row>
    <row r="397">
      <c r="A397" s="11" t="n"/>
      <c r="B397" s="12" t="n"/>
      <c r="C397" s="12" t="n"/>
      <c r="D397" s="13" t="n"/>
      <c r="E397" s="12" t="n"/>
      <c r="F397" s="14">
        <f>IF(D397="","",IF(C397="Физлицо",0.04,0.06))</f>
        <v/>
      </c>
      <c r="G397" s="15">
        <f>IF(D397="","",MIN(MAX(Старт!$B$6-SUM(G$1:G396),0),D397*IF(C397="Физлицо",0.01,0.02)))</f>
        <v/>
      </c>
      <c r="H397" s="15">
        <f>IF(D397="","",D397*F397-G397)</f>
        <v/>
      </c>
      <c r="I397" s="16">
        <f>IF(A397="","",YEAR(A397))</f>
        <v/>
      </c>
      <c r="J397" s="16">
        <f>IF(A397="","",MONTH(A397))</f>
        <v/>
      </c>
    </row>
    <row r="398">
      <c r="A398" s="11" t="n"/>
      <c r="B398" s="12" t="n"/>
      <c r="C398" s="12" t="n"/>
      <c r="D398" s="13" t="n"/>
      <c r="E398" s="12" t="n"/>
      <c r="F398" s="14">
        <f>IF(D398="","",IF(C398="Физлицо",0.04,0.06))</f>
        <v/>
      </c>
      <c r="G398" s="15">
        <f>IF(D398="","",MIN(MAX(Старт!$B$6-SUM(G$1:G397),0),D398*IF(C398="Физлицо",0.01,0.02)))</f>
        <v/>
      </c>
      <c r="H398" s="15">
        <f>IF(D398="","",D398*F398-G398)</f>
        <v/>
      </c>
      <c r="I398" s="16">
        <f>IF(A398="","",YEAR(A398))</f>
        <v/>
      </c>
      <c r="J398" s="16">
        <f>IF(A398="","",MONTH(A398))</f>
        <v/>
      </c>
    </row>
    <row r="399">
      <c r="A399" s="11" t="n"/>
      <c r="B399" s="12" t="n"/>
      <c r="C399" s="12" t="n"/>
      <c r="D399" s="13" t="n"/>
      <c r="E399" s="12" t="n"/>
      <c r="F399" s="14">
        <f>IF(D399="","",IF(C399="Физлицо",0.04,0.06))</f>
        <v/>
      </c>
      <c r="G399" s="15">
        <f>IF(D399="","",MIN(MAX(Старт!$B$6-SUM(G$1:G398),0),D399*IF(C399="Физлицо",0.01,0.02)))</f>
        <v/>
      </c>
      <c r="H399" s="15">
        <f>IF(D399="","",D399*F399-G399)</f>
        <v/>
      </c>
      <c r="I399" s="16">
        <f>IF(A399="","",YEAR(A399))</f>
        <v/>
      </c>
      <c r="J399" s="16">
        <f>IF(A399="","",MONTH(A399))</f>
        <v/>
      </c>
    </row>
    <row r="400">
      <c r="A400" s="11" t="n"/>
      <c r="B400" s="12" t="n"/>
      <c r="C400" s="12" t="n"/>
      <c r="D400" s="13" t="n"/>
      <c r="E400" s="12" t="n"/>
      <c r="F400" s="14">
        <f>IF(D400="","",IF(C400="Физлицо",0.04,0.06))</f>
        <v/>
      </c>
      <c r="G400" s="15">
        <f>IF(D400="","",MIN(MAX(Старт!$B$6-SUM(G$1:G399),0),D400*IF(C400="Физлицо",0.01,0.02)))</f>
        <v/>
      </c>
      <c r="H400" s="15">
        <f>IF(D400="","",D400*F400-G400)</f>
        <v/>
      </c>
      <c r="I400" s="16">
        <f>IF(A400="","",YEAR(A400))</f>
        <v/>
      </c>
      <c r="J400" s="16">
        <f>IF(A400="","",MONTH(A400))</f>
        <v/>
      </c>
    </row>
    <row r="401">
      <c r="A401" s="11" t="n"/>
      <c r="B401" s="12" t="n"/>
      <c r="C401" s="12" t="n"/>
      <c r="D401" s="13" t="n"/>
      <c r="E401" s="12" t="n"/>
      <c r="F401" s="14">
        <f>IF(D401="","",IF(C401="Физлицо",0.04,0.06))</f>
        <v/>
      </c>
      <c r="G401" s="15">
        <f>IF(D401="","",MIN(MAX(Старт!$B$6-SUM(G$1:G400),0),D401*IF(C401="Физлицо",0.01,0.02)))</f>
        <v/>
      </c>
      <c r="H401" s="15">
        <f>IF(D401="","",D401*F401-G401)</f>
        <v/>
      </c>
      <c r="I401" s="16">
        <f>IF(A401="","",YEAR(A401))</f>
        <v/>
      </c>
      <c r="J401" s="16">
        <f>IF(A401="","",MONTH(A401))</f>
        <v/>
      </c>
    </row>
    <row r="402">
      <c r="A402" s="11" t="n"/>
      <c r="B402" s="12" t="n"/>
      <c r="C402" s="12" t="n"/>
      <c r="D402" s="13" t="n"/>
      <c r="E402" s="12" t="n"/>
      <c r="F402" s="14">
        <f>IF(D402="","",IF(C402="Физлицо",0.04,0.06))</f>
        <v/>
      </c>
      <c r="G402" s="15">
        <f>IF(D402="","",MIN(MAX(Старт!$B$6-SUM(G$1:G401),0),D402*IF(C402="Физлицо",0.01,0.02)))</f>
        <v/>
      </c>
      <c r="H402" s="15">
        <f>IF(D402="","",D402*F402-G402)</f>
        <v/>
      </c>
      <c r="I402" s="16">
        <f>IF(A402="","",YEAR(A402))</f>
        <v/>
      </c>
      <c r="J402" s="16">
        <f>IF(A402="","",MONTH(A402))</f>
        <v/>
      </c>
    </row>
    <row r="403">
      <c r="A403" s="11" t="n"/>
      <c r="B403" s="12" t="n"/>
      <c r="C403" s="12" t="n"/>
      <c r="D403" s="13" t="n"/>
      <c r="E403" s="12" t="n"/>
      <c r="F403" s="14">
        <f>IF(D403="","",IF(C403="Физлицо",0.04,0.06))</f>
        <v/>
      </c>
      <c r="G403" s="15">
        <f>IF(D403="","",MIN(MAX(Старт!$B$6-SUM(G$1:G402),0),D403*IF(C403="Физлицо",0.01,0.02)))</f>
        <v/>
      </c>
      <c r="H403" s="15">
        <f>IF(D403="","",D403*F403-G403)</f>
        <v/>
      </c>
      <c r="I403" s="16">
        <f>IF(A403="","",YEAR(A403))</f>
        <v/>
      </c>
      <c r="J403" s="16">
        <f>IF(A403="","",MONTH(A403))</f>
        <v/>
      </c>
    </row>
    <row r="404">
      <c r="A404" s="11" t="n"/>
      <c r="B404" s="12" t="n"/>
      <c r="C404" s="12" t="n"/>
      <c r="D404" s="13" t="n"/>
      <c r="E404" s="12" t="n"/>
      <c r="F404" s="14">
        <f>IF(D404="","",IF(C404="Физлицо",0.04,0.06))</f>
        <v/>
      </c>
      <c r="G404" s="15">
        <f>IF(D404="","",MIN(MAX(Старт!$B$6-SUM(G$1:G403),0),D404*IF(C404="Физлицо",0.01,0.02)))</f>
        <v/>
      </c>
      <c r="H404" s="15">
        <f>IF(D404="","",D404*F404-G404)</f>
        <v/>
      </c>
      <c r="I404" s="16">
        <f>IF(A404="","",YEAR(A404))</f>
        <v/>
      </c>
      <c r="J404" s="16">
        <f>IF(A404="","",MONTH(A404))</f>
        <v/>
      </c>
    </row>
    <row r="405">
      <c r="A405" s="11" t="n"/>
      <c r="B405" s="12" t="n"/>
      <c r="C405" s="12" t="n"/>
      <c r="D405" s="13" t="n"/>
      <c r="E405" s="12" t="n"/>
      <c r="F405" s="14">
        <f>IF(D405="","",IF(C405="Физлицо",0.04,0.06))</f>
        <v/>
      </c>
      <c r="G405" s="15">
        <f>IF(D405="","",MIN(MAX(Старт!$B$6-SUM(G$1:G404),0),D405*IF(C405="Физлицо",0.01,0.02)))</f>
        <v/>
      </c>
      <c r="H405" s="15">
        <f>IF(D405="","",D405*F405-G405)</f>
        <v/>
      </c>
      <c r="I405" s="16">
        <f>IF(A405="","",YEAR(A405))</f>
        <v/>
      </c>
      <c r="J405" s="16">
        <f>IF(A405="","",MONTH(A405))</f>
        <v/>
      </c>
    </row>
    <row r="406">
      <c r="A406" s="11" t="n"/>
      <c r="B406" s="12" t="n"/>
      <c r="C406" s="12" t="n"/>
      <c r="D406" s="13" t="n"/>
      <c r="E406" s="12" t="n"/>
      <c r="F406" s="14">
        <f>IF(D406="","",IF(C406="Физлицо",0.04,0.06))</f>
        <v/>
      </c>
      <c r="G406" s="15">
        <f>IF(D406="","",MIN(MAX(Старт!$B$6-SUM(G$1:G405),0),D406*IF(C406="Физлицо",0.01,0.02)))</f>
        <v/>
      </c>
      <c r="H406" s="15">
        <f>IF(D406="","",D406*F406-G406)</f>
        <v/>
      </c>
      <c r="I406" s="16">
        <f>IF(A406="","",YEAR(A406))</f>
        <v/>
      </c>
      <c r="J406" s="16">
        <f>IF(A406="","",MONTH(A406))</f>
        <v/>
      </c>
    </row>
    <row r="407">
      <c r="A407" s="11" t="n"/>
      <c r="B407" s="12" t="n"/>
      <c r="C407" s="12" t="n"/>
      <c r="D407" s="13" t="n"/>
      <c r="E407" s="12" t="n"/>
      <c r="F407" s="14">
        <f>IF(D407="","",IF(C407="Физлицо",0.04,0.06))</f>
        <v/>
      </c>
      <c r="G407" s="15">
        <f>IF(D407="","",MIN(MAX(Старт!$B$6-SUM(G$1:G406),0),D407*IF(C407="Физлицо",0.01,0.02)))</f>
        <v/>
      </c>
      <c r="H407" s="15">
        <f>IF(D407="","",D407*F407-G407)</f>
        <v/>
      </c>
      <c r="I407" s="16">
        <f>IF(A407="","",YEAR(A407))</f>
        <v/>
      </c>
      <c r="J407" s="16">
        <f>IF(A407="","",MONTH(A407))</f>
        <v/>
      </c>
    </row>
    <row r="408">
      <c r="A408" s="11" t="n"/>
      <c r="B408" s="12" t="n"/>
      <c r="C408" s="12" t="n"/>
      <c r="D408" s="13" t="n"/>
      <c r="E408" s="12" t="n"/>
      <c r="F408" s="14">
        <f>IF(D408="","",IF(C408="Физлицо",0.04,0.06))</f>
        <v/>
      </c>
      <c r="G408" s="15">
        <f>IF(D408="","",MIN(MAX(Старт!$B$6-SUM(G$1:G407),0),D408*IF(C408="Физлицо",0.01,0.02)))</f>
        <v/>
      </c>
      <c r="H408" s="15">
        <f>IF(D408="","",D408*F408-G408)</f>
        <v/>
      </c>
      <c r="I408" s="16">
        <f>IF(A408="","",YEAR(A408))</f>
        <v/>
      </c>
      <c r="J408" s="16">
        <f>IF(A408="","",MONTH(A408))</f>
        <v/>
      </c>
    </row>
    <row r="409">
      <c r="A409" s="11" t="n"/>
      <c r="B409" s="12" t="n"/>
      <c r="C409" s="12" t="n"/>
      <c r="D409" s="13" t="n"/>
      <c r="E409" s="12" t="n"/>
      <c r="F409" s="14">
        <f>IF(D409="","",IF(C409="Физлицо",0.04,0.06))</f>
        <v/>
      </c>
      <c r="G409" s="15">
        <f>IF(D409="","",MIN(MAX(Старт!$B$6-SUM(G$1:G408),0),D409*IF(C409="Физлицо",0.01,0.02)))</f>
        <v/>
      </c>
      <c r="H409" s="15">
        <f>IF(D409="","",D409*F409-G409)</f>
        <v/>
      </c>
      <c r="I409" s="16">
        <f>IF(A409="","",YEAR(A409))</f>
        <v/>
      </c>
      <c r="J409" s="16">
        <f>IF(A409="","",MONTH(A409))</f>
        <v/>
      </c>
    </row>
    <row r="410">
      <c r="A410" s="11" t="n"/>
      <c r="B410" s="12" t="n"/>
      <c r="C410" s="12" t="n"/>
      <c r="D410" s="13" t="n"/>
      <c r="E410" s="12" t="n"/>
      <c r="F410" s="14">
        <f>IF(D410="","",IF(C410="Физлицо",0.04,0.06))</f>
        <v/>
      </c>
      <c r="G410" s="15">
        <f>IF(D410="","",MIN(MAX(Старт!$B$6-SUM(G$1:G409),0),D410*IF(C410="Физлицо",0.01,0.02)))</f>
        <v/>
      </c>
      <c r="H410" s="15">
        <f>IF(D410="","",D410*F410-G410)</f>
        <v/>
      </c>
      <c r="I410" s="16">
        <f>IF(A410="","",YEAR(A410))</f>
        <v/>
      </c>
      <c r="J410" s="16">
        <f>IF(A410="","",MONTH(A410))</f>
        <v/>
      </c>
    </row>
    <row r="411">
      <c r="A411" s="11" t="n"/>
      <c r="B411" s="12" t="n"/>
      <c r="C411" s="12" t="n"/>
      <c r="D411" s="13" t="n"/>
      <c r="E411" s="12" t="n"/>
      <c r="F411" s="14">
        <f>IF(D411="","",IF(C411="Физлицо",0.04,0.06))</f>
        <v/>
      </c>
      <c r="G411" s="15">
        <f>IF(D411="","",MIN(MAX(Старт!$B$6-SUM(G$1:G410),0),D411*IF(C411="Физлицо",0.01,0.02)))</f>
        <v/>
      </c>
      <c r="H411" s="15">
        <f>IF(D411="","",D411*F411-G411)</f>
        <v/>
      </c>
      <c r="I411" s="16">
        <f>IF(A411="","",YEAR(A411))</f>
        <v/>
      </c>
      <c r="J411" s="16">
        <f>IF(A411="","",MONTH(A411))</f>
        <v/>
      </c>
    </row>
    <row r="412">
      <c r="A412" s="11" t="n"/>
      <c r="B412" s="12" t="n"/>
      <c r="C412" s="12" t="n"/>
      <c r="D412" s="13" t="n"/>
      <c r="E412" s="12" t="n"/>
      <c r="F412" s="14">
        <f>IF(D412="","",IF(C412="Физлицо",0.04,0.06))</f>
        <v/>
      </c>
      <c r="G412" s="15">
        <f>IF(D412="","",MIN(MAX(Старт!$B$6-SUM(G$1:G411),0),D412*IF(C412="Физлицо",0.01,0.02)))</f>
        <v/>
      </c>
      <c r="H412" s="15">
        <f>IF(D412="","",D412*F412-G412)</f>
        <v/>
      </c>
      <c r="I412" s="16">
        <f>IF(A412="","",YEAR(A412))</f>
        <v/>
      </c>
      <c r="J412" s="16">
        <f>IF(A412="","",MONTH(A412))</f>
        <v/>
      </c>
    </row>
    <row r="413">
      <c r="A413" s="11" t="n"/>
      <c r="B413" s="12" t="n"/>
      <c r="C413" s="12" t="n"/>
      <c r="D413" s="13" t="n"/>
      <c r="E413" s="12" t="n"/>
      <c r="F413" s="14">
        <f>IF(D413="","",IF(C413="Физлицо",0.04,0.06))</f>
        <v/>
      </c>
      <c r="G413" s="15">
        <f>IF(D413="","",MIN(MAX(Старт!$B$6-SUM(G$1:G412),0),D413*IF(C413="Физлицо",0.01,0.02)))</f>
        <v/>
      </c>
      <c r="H413" s="15">
        <f>IF(D413="","",D413*F413-G413)</f>
        <v/>
      </c>
      <c r="I413" s="16">
        <f>IF(A413="","",YEAR(A413))</f>
        <v/>
      </c>
      <c r="J413" s="16">
        <f>IF(A413="","",MONTH(A413))</f>
        <v/>
      </c>
    </row>
    <row r="414">
      <c r="A414" s="11" t="n"/>
      <c r="B414" s="12" t="n"/>
      <c r="C414" s="12" t="n"/>
      <c r="D414" s="13" t="n"/>
      <c r="E414" s="12" t="n"/>
      <c r="F414" s="14">
        <f>IF(D414="","",IF(C414="Физлицо",0.04,0.06))</f>
        <v/>
      </c>
      <c r="G414" s="15">
        <f>IF(D414="","",MIN(MAX(Старт!$B$6-SUM(G$1:G413),0),D414*IF(C414="Физлицо",0.01,0.02)))</f>
        <v/>
      </c>
      <c r="H414" s="15">
        <f>IF(D414="","",D414*F414-G414)</f>
        <v/>
      </c>
      <c r="I414" s="16">
        <f>IF(A414="","",YEAR(A414))</f>
        <v/>
      </c>
      <c r="J414" s="16">
        <f>IF(A414="","",MONTH(A414))</f>
        <v/>
      </c>
    </row>
    <row r="415">
      <c r="A415" s="11" t="n"/>
      <c r="B415" s="12" t="n"/>
      <c r="C415" s="12" t="n"/>
      <c r="D415" s="13" t="n"/>
      <c r="E415" s="12" t="n"/>
      <c r="F415" s="14">
        <f>IF(D415="","",IF(C415="Физлицо",0.04,0.06))</f>
        <v/>
      </c>
      <c r="G415" s="15">
        <f>IF(D415="","",MIN(MAX(Старт!$B$6-SUM(G$1:G414),0),D415*IF(C415="Физлицо",0.01,0.02)))</f>
        <v/>
      </c>
      <c r="H415" s="15">
        <f>IF(D415="","",D415*F415-G415)</f>
        <v/>
      </c>
      <c r="I415" s="16">
        <f>IF(A415="","",YEAR(A415))</f>
        <v/>
      </c>
      <c r="J415" s="16">
        <f>IF(A415="","",MONTH(A415))</f>
        <v/>
      </c>
    </row>
    <row r="416">
      <c r="A416" s="11" t="n"/>
      <c r="B416" s="12" t="n"/>
      <c r="C416" s="12" t="n"/>
      <c r="D416" s="13" t="n"/>
      <c r="E416" s="12" t="n"/>
      <c r="F416" s="14">
        <f>IF(D416="","",IF(C416="Физлицо",0.04,0.06))</f>
        <v/>
      </c>
      <c r="G416" s="15">
        <f>IF(D416="","",MIN(MAX(Старт!$B$6-SUM(G$1:G415),0),D416*IF(C416="Физлицо",0.01,0.02)))</f>
        <v/>
      </c>
      <c r="H416" s="15">
        <f>IF(D416="","",D416*F416-G416)</f>
        <v/>
      </c>
      <c r="I416" s="16">
        <f>IF(A416="","",YEAR(A416))</f>
        <v/>
      </c>
      <c r="J416" s="16">
        <f>IF(A416="","",MONTH(A416))</f>
        <v/>
      </c>
    </row>
    <row r="417">
      <c r="A417" s="11" t="n"/>
      <c r="B417" s="12" t="n"/>
      <c r="C417" s="12" t="n"/>
      <c r="D417" s="13" t="n"/>
      <c r="E417" s="12" t="n"/>
      <c r="F417" s="14">
        <f>IF(D417="","",IF(C417="Физлицо",0.04,0.06))</f>
        <v/>
      </c>
      <c r="G417" s="15">
        <f>IF(D417="","",MIN(MAX(Старт!$B$6-SUM(G$1:G416),0),D417*IF(C417="Физлицо",0.01,0.02)))</f>
        <v/>
      </c>
      <c r="H417" s="15">
        <f>IF(D417="","",D417*F417-G417)</f>
        <v/>
      </c>
      <c r="I417" s="16">
        <f>IF(A417="","",YEAR(A417))</f>
        <v/>
      </c>
      <c r="J417" s="16">
        <f>IF(A417="","",MONTH(A417))</f>
        <v/>
      </c>
    </row>
    <row r="418">
      <c r="A418" s="11" t="n"/>
      <c r="B418" s="12" t="n"/>
      <c r="C418" s="12" t="n"/>
      <c r="D418" s="13" t="n"/>
      <c r="E418" s="12" t="n"/>
      <c r="F418" s="14">
        <f>IF(D418="","",IF(C418="Физлицо",0.04,0.06))</f>
        <v/>
      </c>
      <c r="G418" s="15">
        <f>IF(D418="","",MIN(MAX(Старт!$B$6-SUM(G$1:G417),0),D418*IF(C418="Физлицо",0.01,0.02)))</f>
        <v/>
      </c>
      <c r="H418" s="15">
        <f>IF(D418="","",D418*F418-G418)</f>
        <v/>
      </c>
      <c r="I418" s="16">
        <f>IF(A418="","",YEAR(A418))</f>
        <v/>
      </c>
      <c r="J418" s="16">
        <f>IF(A418="","",MONTH(A418))</f>
        <v/>
      </c>
    </row>
    <row r="419">
      <c r="A419" s="11" t="n"/>
      <c r="B419" s="12" t="n"/>
      <c r="C419" s="12" t="n"/>
      <c r="D419" s="13" t="n"/>
      <c r="E419" s="12" t="n"/>
      <c r="F419" s="14">
        <f>IF(D419="","",IF(C419="Физлицо",0.04,0.06))</f>
        <v/>
      </c>
      <c r="G419" s="15">
        <f>IF(D419="","",MIN(MAX(Старт!$B$6-SUM(G$1:G418),0),D419*IF(C419="Физлицо",0.01,0.02)))</f>
        <v/>
      </c>
      <c r="H419" s="15">
        <f>IF(D419="","",D419*F419-G419)</f>
        <v/>
      </c>
      <c r="I419" s="16">
        <f>IF(A419="","",YEAR(A419))</f>
        <v/>
      </c>
      <c r="J419" s="16">
        <f>IF(A419="","",MONTH(A419))</f>
        <v/>
      </c>
    </row>
    <row r="420">
      <c r="A420" s="11" t="n"/>
      <c r="B420" s="12" t="n"/>
      <c r="C420" s="12" t="n"/>
      <c r="D420" s="13" t="n"/>
      <c r="E420" s="12" t="n"/>
      <c r="F420" s="14">
        <f>IF(D420="","",IF(C420="Физлицо",0.04,0.06))</f>
        <v/>
      </c>
      <c r="G420" s="15">
        <f>IF(D420="","",MIN(MAX(Старт!$B$6-SUM(G$1:G419),0),D420*IF(C420="Физлицо",0.01,0.02)))</f>
        <v/>
      </c>
      <c r="H420" s="15">
        <f>IF(D420="","",D420*F420-G420)</f>
        <v/>
      </c>
      <c r="I420" s="16">
        <f>IF(A420="","",YEAR(A420))</f>
        <v/>
      </c>
      <c r="J420" s="16">
        <f>IF(A420="","",MONTH(A420))</f>
        <v/>
      </c>
    </row>
    <row r="421">
      <c r="A421" s="11" t="n"/>
      <c r="B421" s="12" t="n"/>
      <c r="C421" s="12" t="n"/>
      <c r="D421" s="13" t="n"/>
      <c r="E421" s="12" t="n"/>
      <c r="F421" s="14">
        <f>IF(D421="","",IF(C421="Физлицо",0.04,0.06))</f>
        <v/>
      </c>
      <c r="G421" s="15">
        <f>IF(D421="","",MIN(MAX(Старт!$B$6-SUM(G$1:G420),0),D421*IF(C421="Физлицо",0.01,0.02)))</f>
        <v/>
      </c>
      <c r="H421" s="15">
        <f>IF(D421="","",D421*F421-G421)</f>
        <v/>
      </c>
      <c r="I421" s="16">
        <f>IF(A421="","",YEAR(A421))</f>
        <v/>
      </c>
      <c r="J421" s="16">
        <f>IF(A421="","",MONTH(A421))</f>
        <v/>
      </c>
    </row>
    <row r="422">
      <c r="A422" s="11" t="n"/>
      <c r="B422" s="12" t="n"/>
      <c r="C422" s="12" t="n"/>
      <c r="D422" s="13" t="n"/>
      <c r="E422" s="12" t="n"/>
      <c r="F422" s="14">
        <f>IF(D422="","",IF(C422="Физлицо",0.04,0.06))</f>
        <v/>
      </c>
      <c r="G422" s="15">
        <f>IF(D422="","",MIN(MAX(Старт!$B$6-SUM(G$1:G421),0),D422*IF(C422="Физлицо",0.01,0.02)))</f>
        <v/>
      </c>
      <c r="H422" s="15">
        <f>IF(D422="","",D422*F422-G422)</f>
        <v/>
      </c>
      <c r="I422" s="16">
        <f>IF(A422="","",YEAR(A422))</f>
        <v/>
      </c>
      <c r="J422" s="16">
        <f>IF(A422="","",MONTH(A422))</f>
        <v/>
      </c>
    </row>
    <row r="423">
      <c r="A423" s="11" t="n"/>
      <c r="B423" s="12" t="n"/>
      <c r="C423" s="12" t="n"/>
      <c r="D423" s="13" t="n"/>
      <c r="E423" s="12" t="n"/>
      <c r="F423" s="14">
        <f>IF(D423="","",IF(C423="Физлицо",0.04,0.06))</f>
        <v/>
      </c>
      <c r="G423" s="15">
        <f>IF(D423="","",MIN(MAX(Старт!$B$6-SUM(G$1:G422),0),D423*IF(C423="Физлицо",0.01,0.02)))</f>
        <v/>
      </c>
      <c r="H423" s="15">
        <f>IF(D423="","",D423*F423-G423)</f>
        <v/>
      </c>
      <c r="I423" s="16">
        <f>IF(A423="","",YEAR(A423))</f>
        <v/>
      </c>
      <c r="J423" s="16">
        <f>IF(A423="","",MONTH(A423))</f>
        <v/>
      </c>
    </row>
    <row r="424">
      <c r="A424" s="11" t="n"/>
      <c r="B424" s="12" t="n"/>
      <c r="C424" s="12" t="n"/>
      <c r="D424" s="13" t="n"/>
      <c r="E424" s="12" t="n"/>
      <c r="F424" s="14">
        <f>IF(D424="","",IF(C424="Физлицо",0.04,0.06))</f>
        <v/>
      </c>
      <c r="G424" s="15">
        <f>IF(D424="","",MIN(MAX(Старт!$B$6-SUM(G$1:G423),0),D424*IF(C424="Физлицо",0.01,0.02)))</f>
        <v/>
      </c>
      <c r="H424" s="15">
        <f>IF(D424="","",D424*F424-G424)</f>
        <v/>
      </c>
      <c r="I424" s="16">
        <f>IF(A424="","",YEAR(A424))</f>
        <v/>
      </c>
      <c r="J424" s="16">
        <f>IF(A424="","",MONTH(A424))</f>
        <v/>
      </c>
    </row>
    <row r="425">
      <c r="A425" s="11" t="n"/>
      <c r="B425" s="12" t="n"/>
      <c r="C425" s="12" t="n"/>
      <c r="D425" s="13" t="n"/>
      <c r="E425" s="12" t="n"/>
      <c r="F425" s="14">
        <f>IF(D425="","",IF(C425="Физлицо",0.04,0.06))</f>
        <v/>
      </c>
      <c r="G425" s="15">
        <f>IF(D425="","",MIN(MAX(Старт!$B$6-SUM(G$1:G424),0),D425*IF(C425="Физлицо",0.01,0.02)))</f>
        <v/>
      </c>
      <c r="H425" s="15">
        <f>IF(D425="","",D425*F425-G425)</f>
        <v/>
      </c>
      <c r="I425" s="16">
        <f>IF(A425="","",YEAR(A425))</f>
        <v/>
      </c>
      <c r="J425" s="16">
        <f>IF(A425="","",MONTH(A425))</f>
        <v/>
      </c>
    </row>
    <row r="426">
      <c r="A426" s="11" t="n"/>
      <c r="B426" s="12" t="n"/>
      <c r="C426" s="12" t="n"/>
      <c r="D426" s="13" t="n"/>
      <c r="E426" s="12" t="n"/>
      <c r="F426" s="14">
        <f>IF(D426="","",IF(C426="Физлицо",0.04,0.06))</f>
        <v/>
      </c>
      <c r="G426" s="15">
        <f>IF(D426="","",MIN(MAX(Старт!$B$6-SUM(G$1:G425),0),D426*IF(C426="Физлицо",0.01,0.02)))</f>
        <v/>
      </c>
      <c r="H426" s="15">
        <f>IF(D426="","",D426*F426-G426)</f>
        <v/>
      </c>
      <c r="I426" s="16">
        <f>IF(A426="","",YEAR(A426))</f>
        <v/>
      </c>
      <c r="J426" s="16">
        <f>IF(A426="","",MONTH(A426))</f>
        <v/>
      </c>
    </row>
    <row r="427">
      <c r="A427" s="11" t="n"/>
      <c r="B427" s="12" t="n"/>
      <c r="C427" s="12" t="n"/>
      <c r="D427" s="13" t="n"/>
      <c r="E427" s="12" t="n"/>
      <c r="F427" s="14">
        <f>IF(D427="","",IF(C427="Физлицо",0.04,0.06))</f>
        <v/>
      </c>
      <c r="G427" s="15">
        <f>IF(D427="","",MIN(MAX(Старт!$B$6-SUM(G$1:G426),0),D427*IF(C427="Физлицо",0.01,0.02)))</f>
        <v/>
      </c>
      <c r="H427" s="15">
        <f>IF(D427="","",D427*F427-G427)</f>
        <v/>
      </c>
      <c r="I427" s="16">
        <f>IF(A427="","",YEAR(A427))</f>
        <v/>
      </c>
      <c r="J427" s="16">
        <f>IF(A427="","",MONTH(A427))</f>
        <v/>
      </c>
    </row>
    <row r="428">
      <c r="A428" s="11" t="n"/>
      <c r="B428" s="12" t="n"/>
      <c r="C428" s="12" t="n"/>
      <c r="D428" s="13" t="n"/>
      <c r="E428" s="12" t="n"/>
      <c r="F428" s="14">
        <f>IF(D428="","",IF(C428="Физлицо",0.04,0.06))</f>
        <v/>
      </c>
      <c r="G428" s="15">
        <f>IF(D428="","",MIN(MAX(Старт!$B$6-SUM(G$1:G427),0),D428*IF(C428="Физлицо",0.01,0.02)))</f>
        <v/>
      </c>
      <c r="H428" s="15">
        <f>IF(D428="","",D428*F428-G428)</f>
        <v/>
      </c>
      <c r="I428" s="16">
        <f>IF(A428="","",YEAR(A428))</f>
        <v/>
      </c>
      <c r="J428" s="16">
        <f>IF(A428="","",MONTH(A428))</f>
        <v/>
      </c>
    </row>
    <row r="429">
      <c r="A429" s="11" t="n"/>
      <c r="B429" s="12" t="n"/>
      <c r="C429" s="12" t="n"/>
      <c r="D429" s="13" t="n"/>
      <c r="E429" s="12" t="n"/>
      <c r="F429" s="14">
        <f>IF(D429="","",IF(C429="Физлицо",0.04,0.06))</f>
        <v/>
      </c>
      <c r="G429" s="15">
        <f>IF(D429="","",MIN(MAX(Старт!$B$6-SUM(G$1:G428),0),D429*IF(C429="Физлицо",0.01,0.02)))</f>
        <v/>
      </c>
      <c r="H429" s="15">
        <f>IF(D429="","",D429*F429-G429)</f>
        <v/>
      </c>
      <c r="I429" s="16">
        <f>IF(A429="","",YEAR(A429))</f>
        <v/>
      </c>
      <c r="J429" s="16">
        <f>IF(A429="","",MONTH(A429))</f>
        <v/>
      </c>
    </row>
    <row r="430">
      <c r="A430" s="11" t="n"/>
      <c r="B430" s="12" t="n"/>
      <c r="C430" s="12" t="n"/>
      <c r="D430" s="13" t="n"/>
      <c r="E430" s="12" t="n"/>
      <c r="F430" s="14">
        <f>IF(D430="","",IF(C430="Физлицо",0.04,0.06))</f>
        <v/>
      </c>
      <c r="G430" s="15">
        <f>IF(D430="","",MIN(MAX(Старт!$B$6-SUM(G$1:G429),0),D430*IF(C430="Физлицо",0.01,0.02)))</f>
        <v/>
      </c>
      <c r="H430" s="15">
        <f>IF(D430="","",D430*F430-G430)</f>
        <v/>
      </c>
      <c r="I430" s="16">
        <f>IF(A430="","",YEAR(A430))</f>
        <v/>
      </c>
      <c r="J430" s="16">
        <f>IF(A430="","",MONTH(A430))</f>
        <v/>
      </c>
    </row>
    <row r="431">
      <c r="A431" s="11" t="n"/>
      <c r="B431" s="12" t="n"/>
      <c r="C431" s="12" t="n"/>
      <c r="D431" s="13" t="n"/>
      <c r="E431" s="12" t="n"/>
      <c r="F431" s="14">
        <f>IF(D431="","",IF(C431="Физлицо",0.04,0.06))</f>
        <v/>
      </c>
      <c r="G431" s="15">
        <f>IF(D431="","",MIN(MAX(Старт!$B$6-SUM(G$1:G430),0),D431*IF(C431="Физлицо",0.01,0.02)))</f>
        <v/>
      </c>
      <c r="H431" s="15">
        <f>IF(D431="","",D431*F431-G431)</f>
        <v/>
      </c>
      <c r="I431" s="16">
        <f>IF(A431="","",YEAR(A431))</f>
        <v/>
      </c>
      <c r="J431" s="16">
        <f>IF(A431="","",MONTH(A431))</f>
        <v/>
      </c>
    </row>
    <row r="432">
      <c r="A432" s="11" t="n"/>
      <c r="B432" s="12" t="n"/>
      <c r="C432" s="12" t="n"/>
      <c r="D432" s="13" t="n"/>
      <c r="E432" s="12" t="n"/>
      <c r="F432" s="14">
        <f>IF(D432="","",IF(C432="Физлицо",0.04,0.06))</f>
        <v/>
      </c>
      <c r="G432" s="15">
        <f>IF(D432="","",MIN(MAX(Старт!$B$6-SUM(G$1:G431),0),D432*IF(C432="Физлицо",0.01,0.02)))</f>
        <v/>
      </c>
      <c r="H432" s="15">
        <f>IF(D432="","",D432*F432-G432)</f>
        <v/>
      </c>
      <c r="I432" s="16">
        <f>IF(A432="","",YEAR(A432))</f>
        <v/>
      </c>
      <c r="J432" s="16">
        <f>IF(A432="","",MONTH(A432))</f>
        <v/>
      </c>
    </row>
    <row r="433">
      <c r="A433" s="11" t="n"/>
      <c r="B433" s="12" t="n"/>
      <c r="C433" s="12" t="n"/>
      <c r="D433" s="13" t="n"/>
      <c r="E433" s="12" t="n"/>
      <c r="F433" s="14">
        <f>IF(D433="","",IF(C433="Физлицо",0.04,0.06))</f>
        <v/>
      </c>
      <c r="G433" s="15">
        <f>IF(D433="","",MIN(MAX(Старт!$B$6-SUM(G$1:G432),0),D433*IF(C433="Физлицо",0.01,0.02)))</f>
        <v/>
      </c>
      <c r="H433" s="15">
        <f>IF(D433="","",D433*F433-G433)</f>
        <v/>
      </c>
      <c r="I433" s="16">
        <f>IF(A433="","",YEAR(A433))</f>
        <v/>
      </c>
      <c r="J433" s="16">
        <f>IF(A433="","",MONTH(A433))</f>
        <v/>
      </c>
    </row>
    <row r="434">
      <c r="A434" s="11" t="n"/>
      <c r="B434" s="12" t="n"/>
      <c r="C434" s="12" t="n"/>
      <c r="D434" s="13" t="n"/>
      <c r="E434" s="12" t="n"/>
      <c r="F434" s="14">
        <f>IF(D434="","",IF(C434="Физлицо",0.04,0.06))</f>
        <v/>
      </c>
      <c r="G434" s="15">
        <f>IF(D434="","",MIN(MAX(Старт!$B$6-SUM(G$1:G433),0),D434*IF(C434="Физлицо",0.01,0.02)))</f>
        <v/>
      </c>
      <c r="H434" s="15">
        <f>IF(D434="","",D434*F434-G434)</f>
        <v/>
      </c>
      <c r="I434" s="16">
        <f>IF(A434="","",YEAR(A434))</f>
        <v/>
      </c>
      <c r="J434" s="16">
        <f>IF(A434="","",MONTH(A434))</f>
        <v/>
      </c>
    </row>
    <row r="435">
      <c r="A435" s="11" t="n"/>
      <c r="B435" s="12" t="n"/>
      <c r="C435" s="12" t="n"/>
      <c r="D435" s="13" t="n"/>
      <c r="E435" s="12" t="n"/>
      <c r="F435" s="14">
        <f>IF(D435="","",IF(C435="Физлицо",0.04,0.06))</f>
        <v/>
      </c>
      <c r="G435" s="15">
        <f>IF(D435="","",MIN(MAX(Старт!$B$6-SUM(G$1:G434),0),D435*IF(C435="Физлицо",0.01,0.02)))</f>
        <v/>
      </c>
      <c r="H435" s="15">
        <f>IF(D435="","",D435*F435-G435)</f>
        <v/>
      </c>
      <c r="I435" s="16">
        <f>IF(A435="","",YEAR(A435))</f>
        <v/>
      </c>
      <c r="J435" s="16">
        <f>IF(A435="","",MONTH(A435))</f>
        <v/>
      </c>
    </row>
    <row r="436">
      <c r="A436" s="11" t="n"/>
      <c r="B436" s="12" t="n"/>
      <c r="C436" s="12" t="n"/>
      <c r="D436" s="13" t="n"/>
      <c r="E436" s="12" t="n"/>
      <c r="F436" s="14">
        <f>IF(D436="","",IF(C436="Физлицо",0.04,0.06))</f>
        <v/>
      </c>
      <c r="G436" s="15">
        <f>IF(D436="","",MIN(MAX(Старт!$B$6-SUM(G$1:G435),0),D436*IF(C436="Физлицо",0.01,0.02)))</f>
        <v/>
      </c>
      <c r="H436" s="15">
        <f>IF(D436="","",D436*F436-G436)</f>
        <v/>
      </c>
      <c r="I436" s="16">
        <f>IF(A436="","",YEAR(A436))</f>
        <v/>
      </c>
      <c r="J436" s="16">
        <f>IF(A436="","",MONTH(A436))</f>
        <v/>
      </c>
    </row>
    <row r="437">
      <c r="A437" s="11" t="n"/>
      <c r="B437" s="12" t="n"/>
      <c r="C437" s="12" t="n"/>
      <c r="D437" s="13" t="n"/>
      <c r="E437" s="12" t="n"/>
      <c r="F437" s="14">
        <f>IF(D437="","",IF(C437="Физлицо",0.04,0.06))</f>
        <v/>
      </c>
      <c r="G437" s="15">
        <f>IF(D437="","",MIN(MAX(Старт!$B$6-SUM(G$1:G436),0),D437*IF(C437="Физлицо",0.01,0.02)))</f>
        <v/>
      </c>
      <c r="H437" s="15">
        <f>IF(D437="","",D437*F437-G437)</f>
        <v/>
      </c>
      <c r="I437" s="16">
        <f>IF(A437="","",YEAR(A437))</f>
        <v/>
      </c>
      <c r="J437" s="16">
        <f>IF(A437="","",MONTH(A437))</f>
        <v/>
      </c>
    </row>
    <row r="438">
      <c r="A438" s="11" t="n"/>
      <c r="B438" s="12" t="n"/>
      <c r="C438" s="12" t="n"/>
      <c r="D438" s="13" t="n"/>
      <c r="E438" s="12" t="n"/>
      <c r="F438" s="14">
        <f>IF(D438="","",IF(C438="Физлицо",0.04,0.06))</f>
        <v/>
      </c>
      <c r="G438" s="15">
        <f>IF(D438="","",MIN(MAX(Старт!$B$6-SUM(G$1:G437),0),D438*IF(C438="Физлицо",0.01,0.02)))</f>
        <v/>
      </c>
      <c r="H438" s="15">
        <f>IF(D438="","",D438*F438-G438)</f>
        <v/>
      </c>
      <c r="I438" s="16">
        <f>IF(A438="","",YEAR(A438))</f>
        <v/>
      </c>
      <c r="J438" s="16">
        <f>IF(A438="","",MONTH(A438))</f>
        <v/>
      </c>
    </row>
    <row r="439">
      <c r="A439" s="11" t="n"/>
      <c r="B439" s="12" t="n"/>
      <c r="C439" s="12" t="n"/>
      <c r="D439" s="13" t="n"/>
      <c r="E439" s="12" t="n"/>
      <c r="F439" s="14">
        <f>IF(D439="","",IF(C439="Физлицо",0.04,0.06))</f>
        <v/>
      </c>
      <c r="G439" s="15">
        <f>IF(D439="","",MIN(MAX(Старт!$B$6-SUM(G$1:G438),0),D439*IF(C439="Физлицо",0.01,0.02)))</f>
        <v/>
      </c>
      <c r="H439" s="15">
        <f>IF(D439="","",D439*F439-G439)</f>
        <v/>
      </c>
      <c r="I439" s="16">
        <f>IF(A439="","",YEAR(A439))</f>
        <v/>
      </c>
      <c r="J439" s="16">
        <f>IF(A439="","",MONTH(A439))</f>
        <v/>
      </c>
    </row>
    <row r="440">
      <c r="A440" s="11" t="n"/>
      <c r="B440" s="12" t="n"/>
      <c r="C440" s="12" t="n"/>
      <c r="D440" s="13" t="n"/>
      <c r="E440" s="12" t="n"/>
      <c r="F440" s="14">
        <f>IF(D440="","",IF(C440="Физлицо",0.04,0.06))</f>
        <v/>
      </c>
      <c r="G440" s="15">
        <f>IF(D440="","",MIN(MAX(Старт!$B$6-SUM(G$1:G439),0),D440*IF(C440="Физлицо",0.01,0.02)))</f>
        <v/>
      </c>
      <c r="H440" s="15">
        <f>IF(D440="","",D440*F440-G440)</f>
        <v/>
      </c>
      <c r="I440" s="16">
        <f>IF(A440="","",YEAR(A440))</f>
        <v/>
      </c>
      <c r="J440" s="16">
        <f>IF(A440="","",MONTH(A440))</f>
        <v/>
      </c>
    </row>
    <row r="441">
      <c r="A441" s="11" t="n"/>
      <c r="B441" s="12" t="n"/>
      <c r="C441" s="12" t="n"/>
      <c r="D441" s="13" t="n"/>
      <c r="E441" s="12" t="n"/>
      <c r="F441" s="14">
        <f>IF(D441="","",IF(C441="Физлицо",0.04,0.06))</f>
        <v/>
      </c>
      <c r="G441" s="15">
        <f>IF(D441="","",MIN(MAX(Старт!$B$6-SUM(G$1:G440),0),D441*IF(C441="Физлицо",0.01,0.02)))</f>
        <v/>
      </c>
      <c r="H441" s="15">
        <f>IF(D441="","",D441*F441-G441)</f>
        <v/>
      </c>
      <c r="I441" s="16">
        <f>IF(A441="","",YEAR(A441))</f>
        <v/>
      </c>
      <c r="J441" s="16">
        <f>IF(A441="","",MONTH(A441))</f>
        <v/>
      </c>
    </row>
    <row r="442">
      <c r="A442" s="11" t="n"/>
      <c r="B442" s="12" t="n"/>
      <c r="C442" s="12" t="n"/>
      <c r="D442" s="13" t="n"/>
      <c r="E442" s="12" t="n"/>
      <c r="F442" s="14">
        <f>IF(D442="","",IF(C442="Физлицо",0.04,0.06))</f>
        <v/>
      </c>
      <c r="G442" s="15">
        <f>IF(D442="","",MIN(MAX(Старт!$B$6-SUM(G$1:G441),0),D442*IF(C442="Физлицо",0.01,0.02)))</f>
        <v/>
      </c>
      <c r="H442" s="15">
        <f>IF(D442="","",D442*F442-G442)</f>
        <v/>
      </c>
      <c r="I442" s="16">
        <f>IF(A442="","",YEAR(A442))</f>
        <v/>
      </c>
      <c r="J442" s="16">
        <f>IF(A442="","",MONTH(A442))</f>
        <v/>
      </c>
    </row>
    <row r="443">
      <c r="A443" s="11" t="n"/>
      <c r="B443" s="12" t="n"/>
      <c r="C443" s="12" t="n"/>
      <c r="D443" s="13" t="n"/>
      <c r="E443" s="12" t="n"/>
      <c r="F443" s="14">
        <f>IF(D443="","",IF(C443="Физлицо",0.04,0.06))</f>
        <v/>
      </c>
      <c r="G443" s="15">
        <f>IF(D443="","",MIN(MAX(Старт!$B$6-SUM(G$1:G442),0),D443*IF(C443="Физлицо",0.01,0.02)))</f>
        <v/>
      </c>
      <c r="H443" s="15">
        <f>IF(D443="","",D443*F443-G443)</f>
        <v/>
      </c>
      <c r="I443" s="16">
        <f>IF(A443="","",YEAR(A443))</f>
        <v/>
      </c>
      <c r="J443" s="16">
        <f>IF(A443="","",MONTH(A443))</f>
        <v/>
      </c>
    </row>
    <row r="444">
      <c r="A444" s="11" t="n"/>
      <c r="B444" s="12" t="n"/>
      <c r="C444" s="12" t="n"/>
      <c r="D444" s="13" t="n"/>
      <c r="E444" s="12" t="n"/>
      <c r="F444" s="14">
        <f>IF(D444="","",IF(C444="Физлицо",0.04,0.06))</f>
        <v/>
      </c>
      <c r="G444" s="15">
        <f>IF(D444="","",MIN(MAX(Старт!$B$6-SUM(G$1:G443),0),D444*IF(C444="Физлицо",0.01,0.02)))</f>
        <v/>
      </c>
      <c r="H444" s="15">
        <f>IF(D444="","",D444*F444-G444)</f>
        <v/>
      </c>
      <c r="I444" s="16">
        <f>IF(A444="","",YEAR(A444))</f>
        <v/>
      </c>
      <c r="J444" s="16">
        <f>IF(A444="","",MONTH(A444))</f>
        <v/>
      </c>
    </row>
    <row r="445">
      <c r="A445" s="11" t="n"/>
      <c r="B445" s="12" t="n"/>
      <c r="C445" s="12" t="n"/>
      <c r="D445" s="13" t="n"/>
      <c r="E445" s="12" t="n"/>
      <c r="F445" s="14">
        <f>IF(D445="","",IF(C445="Физлицо",0.04,0.06))</f>
        <v/>
      </c>
      <c r="G445" s="15">
        <f>IF(D445="","",MIN(MAX(Старт!$B$6-SUM(G$1:G444),0),D445*IF(C445="Физлицо",0.01,0.02)))</f>
        <v/>
      </c>
      <c r="H445" s="15">
        <f>IF(D445="","",D445*F445-G445)</f>
        <v/>
      </c>
      <c r="I445" s="16">
        <f>IF(A445="","",YEAR(A445))</f>
        <v/>
      </c>
      <c r="J445" s="16">
        <f>IF(A445="","",MONTH(A445))</f>
        <v/>
      </c>
    </row>
    <row r="446">
      <c r="A446" s="11" t="n"/>
      <c r="B446" s="12" t="n"/>
      <c r="C446" s="12" t="n"/>
      <c r="D446" s="13" t="n"/>
      <c r="E446" s="12" t="n"/>
      <c r="F446" s="14">
        <f>IF(D446="","",IF(C446="Физлицо",0.04,0.06))</f>
        <v/>
      </c>
      <c r="G446" s="15">
        <f>IF(D446="","",MIN(MAX(Старт!$B$6-SUM(G$1:G445),0),D446*IF(C446="Физлицо",0.01,0.02)))</f>
        <v/>
      </c>
      <c r="H446" s="15">
        <f>IF(D446="","",D446*F446-G446)</f>
        <v/>
      </c>
      <c r="I446" s="16">
        <f>IF(A446="","",YEAR(A446))</f>
        <v/>
      </c>
      <c r="J446" s="16">
        <f>IF(A446="","",MONTH(A446))</f>
        <v/>
      </c>
    </row>
    <row r="447">
      <c r="A447" s="11" t="n"/>
      <c r="B447" s="12" t="n"/>
      <c r="C447" s="12" t="n"/>
      <c r="D447" s="13" t="n"/>
      <c r="E447" s="12" t="n"/>
      <c r="F447" s="14">
        <f>IF(D447="","",IF(C447="Физлицо",0.04,0.06))</f>
        <v/>
      </c>
      <c r="G447" s="15">
        <f>IF(D447="","",MIN(MAX(Старт!$B$6-SUM(G$1:G446),0),D447*IF(C447="Физлицо",0.01,0.02)))</f>
        <v/>
      </c>
      <c r="H447" s="15">
        <f>IF(D447="","",D447*F447-G447)</f>
        <v/>
      </c>
      <c r="I447" s="16">
        <f>IF(A447="","",YEAR(A447))</f>
        <v/>
      </c>
      <c r="J447" s="16">
        <f>IF(A447="","",MONTH(A447))</f>
        <v/>
      </c>
    </row>
    <row r="448">
      <c r="A448" s="11" t="n"/>
      <c r="B448" s="12" t="n"/>
      <c r="C448" s="12" t="n"/>
      <c r="D448" s="13" t="n"/>
      <c r="E448" s="12" t="n"/>
      <c r="F448" s="14">
        <f>IF(D448="","",IF(C448="Физлицо",0.04,0.06))</f>
        <v/>
      </c>
      <c r="G448" s="15">
        <f>IF(D448="","",MIN(MAX(Старт!$B$6-SUM(G$1:G447),0),D448*IF(C448="Физлицо",0.01,0.02)))</f>
        <v/>
      </c>
      <c r="H448" s="15">
        <f>IF(D448="","",D448*F448-G448)</f>
        <v/>
      </c>
      <c r="I448" s="16">
        <f>IF(A448="","",YEAR(A448))</f>
        <v/>
      </c>
      <c r="J448" s="16">
        <f>IF(A448="","",MONTH(A448))</f>
        <v/>
      </c>
    </row>
    <row r="449">
      <c r="A449" s="11" t="n"/>
      <c r="B449" s="12" t="n"/>
      <c r="C449" s="12" t="n"/>
      <c r="D449" s="13" t="n"/>
      <c r="E449" s="12" t="n"/>
      <c r="F449" s="14">
        <f>IF(D449="","",IF(C449="Физлицо",0.04,0.06))</f>
        <v/>
      </c>
      <c r="G449" s="15">
        <f>IF(D449="","",MIN(MAX(Старт!$B$6-SUM(G$1:G448),0),D449*IF(C449="Физлицо",0.01,0.02)))</f>
        <v/>
      </c>
      <c r="H449" s="15">
        <f>IF(D449="","",D449*F449-G449)</f>
        <v/>
      </c>
      <c r="I449" s="16">
        <f>IF(A449="","",YEAR(A449))</f>
        <v/>
      </c>
      <c r="J449" s="16">
        <f>IF(A449="","",MONTH(A449))</f>
        <v/>
      </c>
    </row>
    <row r="450">
      <c r="A450" s="11" t="n"/>
      <c r="B450" s="12" t="n"/>
      <c r="C450" s="12" t="n"/>
      <c r="D450" s="13" t="n"/>
      <c r="E450" s="12" t="n"/>
      <c r="F450" s="14">
        <f>IF(D450="","",IF(C450="Физлицо",0.04,0.06))</f>
        <v/>
      </c>
      <c r="G450" s="15">
        <f>IF(D450="","",MIN(MAX(Старт!$B$6-SUM(G$1:G449),0),D450*IF(C450="Физлицо",0.01,0.02)))</f>
        <v/>
      </c>
      <c r="H450" s="15">
        <f>IF(D450="","",D450*F450-G450)</f>
        <v/>
      </c>
      <c r="I450" s="16">
        <f>IF(A450="","",YEAR(A450))</f>
        <v/>
      </c>
      <c r="J450" s="16">
        <f>IF(A450="","",MONTH(A450))</f>
        <v/>
      </c>
    </row>
    <row r="451">
      <c r="A451" s="11" t="n"/>
      <c r="B451" s="12" t="n"/>
      <c r="C451" s="12" t="n"/>
      <c r="D451" s="13" t="n"/>
      <c r="E451" s="12" t="n"/>
      <c r="F451" s="14">
        <f>IF(D451="","",IF(C451="Физлицо",0.04,0.06))</f>
        <v/>
      </c>
      <c r="G451" s="15">
        <f>IF(D451="","",MIN(MAX(Старт!$B$6-SUM(G$1:G450),0),D451*IF(C451="Физлицо",0.01,0.02)))</f>
        <v/>
      </c>
      <c r="H451" s="15">
        <f>IF(D451="","",D451*F451-G451)</f>
        <v/>
      </c>
      <c r="I451" s="16">
        <f>IF(A451="","",YEAR(A451))</f>
        <v/>
      </c>
      <c r="J451" s="16">
        <f>IF(A451="","",MONTH(A451))</f>
        <v/>
      </c>
    </row>
    <row r="452">
      <c r="A452" s="11" t="n"/>
      <c r="B452" s="12" t="n"/>
      <c r="C452" s="12" t="n"/>
      <c r="D452" s="13" t="n"/>
      <c r="E452" s="12" t="n"/>
      <c r="F452" s="14">
        <f>IF(D452="","",IF(C452="Физлицо",0.04,0.06))</f>
        <v/>
      </c>
      <c r="G452" s="15">
        <f>IF(D452="","",MIN(MAX(Старт!$B$6-SUM(G$1:G451),0),D452*IF(C452="Физлицо",0.01,0.02)))</f>
        <v/>
      </c>
      <c r="H452" s="15">
        <f>IF(D452="","",D452*F452-G452)</f>
        <v/>
      </c>
      <c r="I452" s="16">
        <f>IF(A452="","",YEAR(A452))</f>
        <v/>
      </c>
      <c r="J452" s="16">
        <f>IF(A452="","",MONTH(A452))</f>
        <v/>
      </c>
    </row>
    <row r="453">
      <c r="A453" s="11" t="n"/>
      <c r="B453" s="12" t="n"/>
      <c r="C453" s="12" t="n"/>
      <c r="D453" s="13" t="n"/>
      <c r="E453" s="12" t="n"/>
      <c r="F453" s="14">
        <f>IF(D453="","",IF(C453="Физлицо",0.04,0.06))</f>
        <v/>
      </c>
      <c r="G453" s="15">
        <f>IF(D453="","",MIN(MAX(Старт!$B$6-SUM(G$1:G452),0),D453*IF(C453="Физлицо",0.01,0.02)))</f>
        <v/>
      </c>
      <c r="H453" s="15">
        <f>IF(D453="","",D453*F453-G453)</f>
        <v/>
      </c>
      <c r="I453" s="16">
        <f>IF(A453="","",YEAR(A453))</f>
        <v/>
      </c>
      <c r="J453" s="16">
        <f>IF(A453="","",MONTH(A453))</f>
        <v/>
      </c>
    </row>
    <row r="454">
      <c r="A454" s="11" t="n"/>
      <c r="B454" s="12" t="n"/>
      <c r="C454" s="12" t="n"/>
      <c r="D454" s="13" t="n"/>
      <c r="E454" s="12" t="n"/>
      <c r="F454" s="14">
        <f>IF(D454="","",IF(C454="Физлицо",0.04,0.06))</f>
        <v/>
      </c>
      <c r="G454" s="15">
        <f>IF(D454="","",MIN(MAX(Старт!$B$6-SUM(G$1:G453),0),D454*IF(C454="Физлицо",0.01,0.02)))</f>
        <v/>
      </c>
      <c r="H454" s="15">
        <f>IF(D454="","",D454*F454-G454)</f>
        <v/>
      </c>
      <c r="I454" s="16">
        <f>IF(A454="","",YEAR(A454))</f>
        <v/>
      </c>
      <c r="J454" s="16">
        <f>IF(A454="","",MONTH(A454))</f>
        <v/>
      </c>
    </row>
    <row r="455">
      <c r="A455" s="11" t="n"/>
      <c r="B455" s="12" t="n"/>
      <c r="C455" s="12" t="n"/>
      <c r="D455" s="13" t="n"/>
      <c r="E455" s="12" t="n"/>
      <c r="F455" s="14">
        <f>IF(D455="","",IF(C455="Физлицо",0.04,0.06))</f>
        <v/>
      </c>
      <c r="G455" s="15">
        <f>IF(D455="","",MIN(MAX(Старт!$B$6-SUM(G$1:G454),0),D455*IF(C455="Физлицо",0.01,0.02)))</f>
        <v/>
      </c>
      <c r="H455" s="15">
        <f>IF(D455="","",D455*F455-G455)</f>
        <v/>
      </c>
      <c r="I455" s="16">
        <f>IF(A455="","",YEAR(A455))</f>
        <v/>
      </c>
      <c r="J455" s="16">
        <f>IF(A455="","",MONTH(A455))</f>
        <v/>
      </c>
    </row>
    <row r="456">
      <c r="A456" s="11" t="n"/>
      <c r="B456" s="12" t="n"/>
      <c r="C456" s="12" t="n"/>
      <c r="D456" s="13" t="n"/>
      <c r="E456" s="12" t="n"/>
      <c r="F456" s="14">
        <f>IF(D456="","",IF(C456="Физлицо",0.04,0.06))</f>
        <v/>
      </c>
      <c r="G456" s="15">
        <f>IF(D456="","",MIN(MAX(Старт!$B$6-SUM(G$1:G455),0),D456*IF(C456="Физлицо",0.01,0.02)))</f>
        <v/>
      </c>
      <c r="H456" s="15">
        <f>IF(D456="","",D456*F456-G456)</f>
        <v/>
      </c>
      <c r="I456" s="16">
        <f>IF(A456="","",YEAR(A456))</f>
        <v/>
      </c>
      <c r="J456" s="16">
        <f>IF(A456="","",MONTH(A456))</f>
        <v/>
      </c>
    </row>
    <row r="457">
      <c r="A457" s="11" t="n"/>
      <c r="B457" s="12" t="n"/>
      <c r="C457" s="12" t="n"/>
      <c r="D457" s="13" t="n"/>
      <c r="E457" s="12" t="n"/>
      <c r="F457" s="14">
        <f>IF(D457="","",IF(C457="Физлицо",0.04,0.06))</f>
        <v/>
      </c>
      <c r="G457" s="15">
        <f>IF(D457="","",MIN(MAX(Старт!$B$6-SUM(G$1:G456),0),D457*IF(C457="Физлицо",0.01,0.02)))</f>
        <v/>
      </c>
      <c r="H457" s="15">
        <f>IF(D457="","",D457*F457-G457)</f>
        <v/>
      </c>
      <c r="I457" s="16">
        <f>IF(A457="","",YEAR(A457))</f>
        <v/>
      </c>
      <c r="J457" s="16">
        <f>IF(A457="","",MONTH(A457))</f>
        <v/>
      </c>
    </row>
    <row r="458">
      <c r="A458" s="11" t="n"/>
      <c r="B458" s="12" t="n"/>
      <c r="C458" s="12" t="n"/>
      <c r="D458" s="13" t="n"/>
      <c r="E458" s="12" t="n"/>
      <c r="F458" s="14">
        <f>IF(D458="","",IF(C458="Физлицо",0.04,0.06))</f>
        <v/>
      </c>
      <c r="G458" s="15">
        <f>IF(D458="","",MIN(MAX(Старт!$B$6-SUM(G$1:G457),0),D458*IF(C458="Физлицо",0.01,0.02)))</f>
        <v/>
      </c>
      <c r="H458" s="15">
        <f>IF(D458="","",D458*F458-G458)</f>
        <v/>
      </c>
      <c r="I458" s="16">
        <f>IF(A458="","",YEAR(A458))</f>
        <v/>
      </c>
      <c r="J458" s="16">
        <f>IF(A458="","",MONTH(A458))</f>
        <v/>
      </c>
    </row>
    <row r="459">
      <c r="A459" s="11" t="n"/>
      <c r="B459" s="12" t="n"/>
      <c r="C459" s="12" t="n"/>
      <c r="D459" s="13" t="n"/>
      <c r="E459" s="12" t="n"/>
      <c r="F459" s="14">
        <f>IF(D459="","",IF(C459="Физлицо",0.04,0.06))</f>
        <v/>
      </c>
      <c r="G459" s="15">
        <f>IF(D459="","",MIN(MAX(Старт!$B$6-SUM(G$1:G458),0),D459*IF(C459="Физлицо",0.01,0.02)))</f>
        <v/>
      </c>
      <c r="H459" s="15">
        <f>IF(D459="","",D459*F459-G459)</f>
        <v/>
      </c>
      <c r="I459" s="16">
        <f>IF(A459="","",YEAR(A459))</f>
        <v/>
      </c>
      <c r="J459" s="16">
        <f>IF(A459="","",MONTH(A459))</f>
        <v/>
      </c>
    </row>
    <row r="460">
      <c r="A460" s="11" t="n"/>
      <c r="B460" s="12" t="n"/>
      <c r="C460" s="12" t="n"/>
      <c r="D460" s="13" t="n"/>
      <c r="E460" s="12" t="n"/>
      <c r="F460" s="14">
        <f>IF(D460="","",IF(C460="Физлицо",0.04,0.06))</f>
        <v/>
      </c>
      <c r="G460" s="15">
        <f>IF(D460="","",MIN(MAX(Старт!$B$6-SUM(G$1:G459),0),D460*IF(C460="Физлицо",0.01,0.02)))</f>
        <v/>
      </c>
      <c r="H460" s="15">
        <f>IF(D460="","",D460*F460-G460)</f>
        <v/>
      </c>
      <c r="I460" s="16">
        <f>IF(A460="","",YEAR(A460))</f>
        <v/>
      </c>
      <c r="J460" s="16">
        <f>IF(A460="","",MONTH(A460))</f>
        <v/>
      </c>
    </row>
    <row r="461">
      <c r="A461" s="11" t="n"/>
      <c r="B461" s="12" t="n"/>
      <c r="C461" s="12" t="n"/>
      <c r="D461" s="13" t="n"/>
      <c r="E461" s="12" t="n"/>
      <c r="F461" s="14">
        <f>IF(D461="","",IF(C461="Физлицо",0.04,0.06))</f>
        <v/>
      </c>
      <c r="G461" s="15">
        <f>IF(D461="","",MIN(MAX(Старт!$B$6-SUM(G$1:G460),0),D461*IF(C461="Физлицо",0.01,0.02)))</f>
        <v/>
      </c>
      <c r="H461" s="15">
        <f>IF(D461="","",D461*F461-G461)</f>
        <v/>
      </c>
      <c r="I461" s="16">
        <f>IF(A461="","",YEAR(A461))</f>
        <v/>
      </c>
      <c r="J461" s="16">
        <f>IF(A461="","",MONTH(A461))</f>
        <v/>
      </c>
    </row>
    <row r="462">
      <c r="A462" s="11" t="n"/>
      <c r="B462" s="12" t="n"/>
      <c r="C462" s="12" t="n"/>
      <c r="D462" s="13" t="n"/>
      <c r="E462" s="12" t="n"/>
      <c r="F462" s="14">
        <f>IF(D462="","",IF(C462="Физлицо",0.04,0.06))</f>
        <v/>
      </c>
      <c r="G462" s="15">
        <f>IF(D462="","",MIN(MAX(Старт!$B$6-SUM(G$1:G461),0),D462*IF(C462="Физлицо",0.01,0.02)))</f>
        <v/>
      </c>
      <c r="H462" s="15">
        <f>IF(D462="","",D462*F462-G462)</f>
        <v/>
      </c>
      <c r="I462" s="16">
        <f>IF(A462="","",YEAR(A462))</f>
        <v/>
      </c>
      <c r="J462" s="16">
        <f>IF(A462="","",MONTH(A462))</f>
        <v/>
      </c>
    </row>
    <row r="463">
      <c r="A463" s="11" t="n"/>
      <c r="B463" s="12" t="n"/>
      <c r="C463" s="12" t="n"/>
      <c r="D463" s="13" t="n"/>
      <c r="E463" s="12" t="n"/>
      <c r="F463" s="14">
        <f>IF(D463="","",IF(C463="Физлицо",0.04,0.06))</f>
        <v/>
      </c>
      <c r="G463" s="15">
        <f>IF(D463="","",MIN(MAX(Старт!$B$6-SUM(G$1:G462),0),D463*IF(C463="Физлицо",0.01,0.02)))</f>
        <v/>
      </c>
      <c r="H463" s="15">
        <f>IF(D463="","",D463*F463-G463)</f>
        <v/>
      </c>
      <c r="I463" s="16">
        <f>IF(A463="","",YEAR(A463))</f>
        <v/>
      </c>
      <c r="J463" s="16">
        <f>IF(A463="","",MONTH(A463))</f>
        <v/>
      </c>
    </row>
    <row r="464">
      <c r="A464" s="11" t="n"/>
      <c r="B464" s="12" t="n"/>
      <c r="C464" s="12" t="n"/>
      <c r="D464" s="13" t="n"/>
      <c r="E464" s="12" t="n"/>
      <c r="F464" s="14">
        <f>IF(D464="","",IF(C464="Физлицо",0.04,0.06))</f>
        <v/>
      </c>
      <c r="G464" s="15">
        <f>IF(D464="","",MIN(MAX(Старт!$B$6-SUM(G$1:G463),0),D464*IF(C464="Физлицо",0.01,0.02)))</f>
        <v/>
      </c>
      <c r="H464" s="15">
        <f>IF(D464="","",D464*F464-G464)</f>
        <v/>
      </c>
      <c r="I464" s="16">
        <f>IF(A464="","",YEAR(A464))</f>
        <v/>
      </c>
      <c r="J464" s="16">
        <f>IF(A464="","",MONTH(A464))</f>
        <v/>
      </c>
    </row>
    <row r="465">
      <c r="A465" s="11" t="n"/>
      <c r="B465" s="12" t="n"/>
      <c r="C465" s="12" t="n"/>
      <c r="D465" s="13" t="n"/>
      <c r="E465" s="12" t="n"/>
      <c r="F465" s="14">
        <f>IF(D465="","",IF(C465="Физлицо",0.04,0.06))</f>
        <v/>
      </c>
      <c r="G465" s="15">
        <f>IF(D465="","",MIN(MAX(Старт!$B$6-SUM(G$1:G464),0),D465*IF(C465="Физлицо",0.01,0.02)))</f>
        <v/>
      </c>
      <c r="H465" s="15">
        <f>IF(D465="","",D465*F465-G465)</f>
        <v/>
      </c>
      <c r="I465" s="16">
        <f>IF(A465="","",YEAR(A465))</f>
        <v/>
      </c>
      <c r="J465" s="16">
        <f>IF(A465="","",MONTH(A465))</f>
        <v/>
      </c>
    </row>
    <row r="466">
      <c r="A466" s="11" t="n"/>
      <c r="B466" s="12" t="n"/>
      <c r="C466" s="12" t="n"/>
      <c r="D466" s="13" t="n"/>
      <c r="E466" s="12" t="n"/>
      <c r="F466" s="14">
        <f>IF(D466="","",IF(C466="Физлицо",0.04,0.06))</f>
        <v/>
      </c>
      <c r="G466" s="15">
        <f>IF(D466="","",MIN(MAX(Старт!$B$6-SUM(G$1:G465),0),D466*IF(C466="Физлицо",0.01,0.02)))</f>
        <v/>
      </c>
      <c r="H466" s="15">
        <f>IF(D466="","",D466*F466-G466)</f>
        <v/>
      </c>
      <c r="I466" s="16">
        <f>IF(A466="","",YEAR(A466))</f>
        <v/>
      </c>
      <c r="J466" s="16">
        <f>IF(A466="","",MONTH(A466))</f>
        <v/>
      </c>
    </row>
    <row r="467">
      <c r="A467" s="11" t="n"/>
      <c r="B467" s="12" t="n"/>
      <c r="C467" s="12" t="n"/>
      <c r="D467" s="13" t="n"/>
      <c r="E467" s="12" t="n"/>
      <c r="F467" s="14">
        <f>IF(D467="","",IF(C467="Физлицо",0.04,0.06))</f>
        <v/>
      </c>
      <c r="G467" s="15">
        <f>IF(D467="","",MIN(MAX(Старт!$B$6-SUM(G$1:G466),0),D467*IF(C467="Физлицо",0.01,0.02)))</f>
        <v/>
      </c>
      <c r="H467" s="15">
        <f>IF(D467="","",D467*F467-G467)</f>
        <v/>
      </c>
      <c r="I467" s="16">
        <f>IF(A467="","",YEAR(A467))</f>
        <v/>
      </c>
      <c r="J467" s="16">
        <f>IF(A467="","",MONTH(A467))</f>
        <v/>
      </c>
    </row>
    <row r="468">
      <c r="A468" s="11" t="n"/>
      <c r="B468" s="12" t="n"/>
      <c r="C468" s="12" t="n"/>
      <c r="D468" s="13" t="n"/>
      <c r="E468" s="12" t="n"/>
      <c r="F468" s="14">
        <f>IF(D468="","",IF(C468="Физлицо",0.04,0.06))</f>
        <v/>
      </c>
      <c r="G468" s="15">
        <f>IF(D468="","",MIN(MAX(Старт!$B$6-SUM(G$1:G467),0),D468*IF(C468="Физлицо",0.01,0.02)))</f>
        <v/>
      </c>
      <c r="H468" s="15">
        <f>IF(D468="","",D468*F468-G468)</f>
        <v/>
      </c>
      <c r="I468" s="16">
        <f>IF(A468="","",YEAR(A468))</f>
        <v/>
      </c>
      <c r="J468" s="16">
        <f>IF(A468="","",MONTH(A468))</f>
        <v/>
      </c>
    </row>
    <row r="469">
      <c r="A469" s="11" t="n"/>
      <c r="B469" s="12" t="n"/>
      <c r="C469" s="12" t="n"/>
      <c r="D469" s="13" t="n"/>
      <c r="E469" s="12" t="n"/>
      <c r="F469" s="14">
        <f>IF(D469="","",IF(C469="Физлицо",0.04,0.06))</f>
        <v/>
      </c>
      <c r="G469" s="15">
        <f>IF(D469="","",MIN(MAX(Старт!$B$6-SUM(G$1:G468),0),D469*IF(C469="Физлицо",0.01,0.02)))</f>
        <v/>
      </c>
      <c r="H469" s="15">
        <f>IF(D469="","",D469*F469-G469)</f>
        <v/>
      </c>
      <c r="I469" s="16">
        <f>IF(A469="","",YEAR(A469))</f>
        <v/>
      </c>
      <c r="J469" s="16">
        <f>IF(A469="","",MONTH(A469))</f>
        <v/>
      </c>
    </row>
    <row r="470">
      <c r="A470" s="11" t="n"/>
      <c r="B470" s="12" t="n"/>
      <c r="C470" s="12" t="n"/>
      <c r="D470" s="13" t="n"/>
      <c r="E470" s="12" t="n"/>
      <c r="F470" s="14">
        <f>IF(D470="","",IF(C470="Физлицо",0.04,0.06))</f>
        <v/>
      </c>
      <c r="G470" s="15">
        <f>IF(D470="","",MIN(MAX(Старт!$B$6-SUM(G$1:G469),0),D470*IF(C470="Физлицо",0.01,0.02)))</f>
        <v/>
      </c>
      <c r="H470" s="15">
        <f>IF(D470="","",D470*F470-G470)</f>
        <v/>
      </c>
      <c r="I470" s="16">
        <f>IF(A470="","",YEAR(A470))</f>
        <v/>
      </c>
      <c r="J470" s="16">
        <f>IF(A470="","",MONTH(A470))</f>
        <v/>
      </c>
    </row>
    <row r="471">
      <c r="A471" s="11" t="n"/>
      <c r="B471" s="12" t="n"/>
      <c r="C471" s="12" t="n"/>
      <c r="D471" s="13" t="n"/>
      <c r="E471" s="12" t="n"/>
      <c r="F471" s="14">
        <f>IF(D471="","",IF(C471="Физлицо",0.04,0.06))</f>
        <v/>
      </c>
      <c r="G471" s="15">
        <f>IF(D471="","",MIN(MAX(Старт!$B$6-SUM(G$1:G470),0),D471*IF(C471="Физлицо",0.01,0.02)))</f>
        <v/>
      </c>
      <c r="H471" s="15">
        <f>IF(D471="","",D471*F471-G471)</f>
        <v/>
      </c>
      <c r="I471" s="16">
        <f>IF(A471="","",YEAR(A471))</f>
        <v/>
      </c>
      <c r="J471" s="16">
        <f>IF(A471="","",MONTH(A471))</f>
        <v/>
      </c>
    </row>
    <row r="472">
      <c r="A472" s="11" t="n"/>
      <c r="B472" s="12" t="n"/>
      <c r="C472" s="12" t="n"/>
      <c r="D472" s="13" t="n"/>
      <c r="E472" s="12" t="n"/>
      <c r="F472" s="14">
        <f>IF(D472="","",IF(C472="Физлицо",0.04,0.06))</f>
        <v/>
      </c>
      <c r="G472" s="15">
        <f>IF(D472="","",MIN(MAX(Старт!$B$6-SUM(G$1:G471),0),D472*IF(C472="Физлицо",0.01,0.02)))</f>
        <v/>
      </c>
      <c r="H472" s="15">
        <f>IF(D472="","",D472*F472-G472)</f>
        <v/>
      </c>
      <c r="I472" s="16">
        <f>IF(A472="","",YEAR(A472))</f>
        <v/>
      </c>
      <c r="J472" s="16">
        <f>IF(A472="","",MONTH(A472))</f>
        <v/>
      </c>
    </row>
    <row r="473">
      <c r="A473" s="11" t="n"/>
      <c r="B473" s="12" t="n"/>
      <c r="C473" s="12" t="n"/>
      <c r="D473" s="13" t="n"/>
      <c r="E473" s="12" t="n"/>
      <c r="F473" s="14">
        <f>IF(D473="","",IF(C473="Физлицо",0.04,0.06))</f>
        <v/>
      </c>
      <c r="G473" s="15">
        <f>IF(D473="","",MIN(MAX(Старт!$B$6-SUM(G$1:G472),0),D473*IF(C473="Физлицо",0.01,0.02)))</f>
        <v/>
      </c>
      <c r="H473" s="15">
        <f>IF(D473="","",D473*F473-G473)</f>
        <v/>
      </c>
      <c r="I473" s="16">
        <f>IF(A473="","",YEAR(A473))</f>
        <v/>
      </c>
      <c r="J473" s="16">
        <f>IF(A473="","",MONTH(A473))</f>
        <v/>
      </c>
    </row>
    <row r="474">
      <c r="A474" s="11" t="n"/>
      <c r="B474" s="12" t="n"/>
      <c r="C474" s="12" t="n"/>
      <c r="D474" s="13" t="n"/>
      <c r="E474" s="12" t="n"/>
      <c r="F474" s="14">
        <f>IF(D474="","",IF(C474="Физлицо",0.04,0.06))</f>
        <v/>
      </c>
      <c r="G474" s="15">
        <f>IF(D474="","",MIN(MAX(Старт!$B$6-SUM(G$1:G473),0),D474*IF(C474="Физлицо",0.01,0.02)))</f>
        <v/>
      </c>
      <c r="H474" s="15">
        <f>IF(D474="","",D474*F474-G474)</f>
        <v/>
      </c>
      <c r="I474" s="16">
        <f>IF(A474="","",YEAR(A474))</f>
        <v/>
      </c>
      <c r="J474" s="16">
        <f>IF(A474="","",MONTH(A474))</f>
        <v/>
      </c>
    </row>
    <row r="475">
      <c r="A475" s="11" t="n"/>
      <c r="B475" s="12" t="n"/>
      <c r="C475" s="12" t="n"/>
      <c r="D475" s="13" t="n"/>
      <c r="E475" s="12" t="n"/>
      <c r="F475" s="14">
        <f>IF(D475="","",IF(C475="Физлицо",0.04,0.06))</f>
        <v/>
      </c>
      <c r="G475" s="15">
        <f>IF(D475="","",MIN(MAX(Старт!$B$6-SUM(G$1:G474),0),D475*IF(C475="Физлицо",0.01,0.02)))</f>
        <v/>
      </c>
      <c r="H475" s="15">
        <f>IF(D475="","",D475*F475-G475)</f>
        <v/>
      </c>
      <c r="I475" s="16">
        <f>IF(A475="","",YEAR(A475))</f>
        <v/>
      </c>
      <c r="J475" s="16">
        <f>IF(A475="","",MONTH(A475))</f>
        <v/>
      </c>
    </row>
    <row r="476">
      <c r="A476" s="11" t="n"/>
      <c r="B476" s="12" t="n"/>
      <c r="C476" s="12" t="n"/>
      <c r="D476" s="13" t="n"/>
      <c r="E476" s="12" t="n"/>
      <c r="F476" s="14">
        <f>IF(D476="","",IF(C476="Физлицо",0.04,0.06))</f>
        <v/>
      </c>
      <c r="G476" s="15">
        <f>IF(D476="","",MIN(MAX(Старт!$B$6-SUM(G$1:G475),0),D476*IF(C476="Физлицо",0.01,0.02)))</f>
        <v/>
      </c>
      <c r="H476" s="15">
        <f>IF(D476="","",D476*F476-G476)</f>
        <v/>
      </c>
      <c r="I476" s="16">
        <f>IF(A476="","",YEAR(A476))</f>
        <v/>
      </c>
      <c r="J476" s="16">
        <f>IF(A476="","",MONTH(A476))</f>
        <v/>
      </c>
    </row>
    <row r="477">
      <c r="A477" s="11" t="n"/>
      <c r="B477" s="12" t="n"/>
      <c r="C477" s="12" t="n"/>
      <c r="D477" s="13" t="n"/>
      <c r="E477" s="12" t="n"/>
      <c r="F477" s="14">
        <f>IF(D477="","",IF(C477="Физлицо",0.04,0.06))</f>
        <v/>
      </c>
      <c r="G477" s="15">
        <f>IF(D477="","",MIN(MAX(Старт!$B$6-SUM(G$1:G476),0),D477*IF(C477="Физлицо",0.01,0.02)))</f>
        <v/>
      </c>
      <c r="H477" s="15">
        <f>IF(D477="","",D477*F477-G477)</f>
        <v/>
      </c>
      <c r="I477" s="16">
        <f>IF(A477="","",YEAR(A477))</f>
        <v/>
      </c>
      <c r="J477" s="16">
        <f>IF(A477="","",MONTH(A477))</f>
        <v/>
      </c>
    </row>
    <row r="478">
      <c r="A478" s="11" t="n"/>
      <c r="B478" s="12" t="n"/>
      <c r="C478" s="12" t="n"/>
      <c r="D478" s="13" t="n"/>
      <c r="E478" s="12" t="n"/>
      <c r="F478" s="14">
        <f>IF(D478="","",IF(C478="Физлицо",0.04,0.06))</f>
        <v/>
      </c>
      <c r="G478" s="15">
        <f>IF(D478="","",MIN(MAX(Старт!$B$6-SUM(G$1:G477),0),D478*IF(C478="Физлицо",0.01,0.02)))</f>
        <v/>
      </c>
      <c r="H478" s="15">
        <f>IF(D478="","",D478*F478-G478)</f>
        <v/>
      </c>
      <c r="I478" s="16">
        <f>IF(A478="","",YEAR(A478))</f>
        <v/>
      </c>
      <c r="J478" s="16">
        <f>IF(A478="","",MONTH(A478))</f>
        <v/>
      </c>
    </row>
    <row r="479">
      <c r="A479" s="11" t="n"/>
      <c r="B479" s="12" t="n"/>
      <c r="C479" s="12" t="n"/>
      <c r="D479" s="13" t="n"/>
      <c r="E479" s="12" t="n"/>
      <c r="F479" s="14">
        <f>IF(D479="","",IF(C479="Физлицо",0.04,0.06))</f>
        <v/>
      </c>
      <c r="G479" s="15">
        <f>IF(D479="","",MIN(MAX(Старт!$B$6-SUM(G$1:G478),0),D479*IF(C479="Физлицо",0.01,0.02)))</f>
        <v/>
      </c>
      <c r="H479" s="15">
        <f>IF(D479="","",D479*F479-G479)</f>
        <v/>
      </c>
      <c r="I479" s="16">
        <f>IF(A479="","",YEAR(A479))</f>
        <v/>
      </c>
      <c r="J479" s="16">
        <f>IF(A479="","",MONTH(A479))</f>
        <v/>
      </c>
    </row>
    <row r="480">
      <c r="A480" s="11" t="n"/>
      <c r="B480" s="12" t="n"/>
      <c r="C480" s="12" t="n"/>
      <c r="D480" s="13" t="n"/>
      <c r="E480" s="12" t="n"/>
      <c r="F480" s="14">
        <f>IF(D480="","",IF(C480="Физлицо",0.04,0.06))</f>
        <v/>
      </c>
      <c r="G480" s="15">
        <f>IF(D480="","",MIN(MAX(Старт!$B$6-SUM(G$1:G479),0),D480*IF(C480="Физлицо",0.01,0.02)))</f>
        <v/>
      </c>
      <c r="H480" s="15">
        <f>IF(D480="","",D480*F480-G480)</f>
        <v/>
      </c>
      <c r="I480" s="16">
        <f>IF(A480="","",YEAR(A480))</f>
        <v/>
      </c>
      <c r="J480" s="16">
        <f>IF(A480="","",MONTH(A480))</f>
        <v/>
      </c>
    </row>
    <row r="481">
      <c r="A481" s="11" t="n"/>
      <c r="B481" s="12" t="n"/>
      <c r="C481" s="12" t="n"/>
      <c r="D481" s="13" t="n"/>
      <c r="E481" s="12" t="n"/>
      <c r="F481" s="14">
        <f>IF(D481="","",IF(C481="Физлицо",0.04,0.06))</f>
        <v/>
      </c>
      <c r="G481" s="15">
        <f>IF(D481="","",MIN(MAX(Старт!$B$6-SUM(G$1:G480),0),D481*IF(C481="Физлицо",0.01,0.02)))</f>
        <v/>
      </c>
      <c r="H481" s="15">
        <f>IF(D481="","",D481*F481-G481)</f>
        <v/>
      </c>
      <c r="I481" s="16">
        <f>IF(A481="","",YEAR(A481))</f>
        <v/>
      </c>
      <c r="J481" s="16">
        <f>IF(A481="","",MONTH(A481))</f>
        <v/>
      </c>
    </row>
    <row r="482">
      <c r="A482" s="11" t="n"/>
      <c r="B482" s="12" t="n"/>
      <c r="C482" s="12" t="n"/>
      <c r="D482" s="13" t="n"/>
      <c r="E482" s="12" t="n"/>
      <c r="F482" s="14">
        <f>IF(D482="","",IF(C482="Физлицо",0.04,0.06))</f>
        <v/>
      </c>
      <c r="G482" s="15">
        <f>IF(D482="","",MIN(MAX(Старт!$B$6-SUM(G$1:G481),0),D482*IF(C482="Физлицо",0.01,0.02)))</f>
        <v/>
      </c>
      <c r="H482" s="15">
        <f>IF(D482="","",D482*F482-G482)</f>
        <v/>
      </c>
      <c r="I482" s="16">
        <f>IF(A482="","",YEAR(A482))</f>
        <v/>
      </c>
      <c r="J482" s="16">
        <f>IF(A482="","",MONTH(A482))</f>
        <v/>
      </c>
    </row>
    <row r="483">
      <c r="A483" s="11" t="n"/>
      <c r="B483" s="12" t="n"/>
      <c r="C483" s="12" t="n"/>
      <c r="D483" s="13" t="n"/>
      <c r="E483" s="12" t="n"/>
      <c r="F483" s="14">
        <f>IF(D483="","",IF(C483="Физлицо",0.04,0.06))</f>
        <v/>
      </c>
      <c r="G483" s="15">
        <f>IF(D483="","",MIN(MAX(Старт!$B$6-SUM(G$1:G482),0),D483*IF(C483="Физлицо",0.01,0.02)))</f>
        <v/>
      </c>
      <c r="H483" s="15">
        <f>IF(D483="","",D483*F483-G483)</f>
        <v/>
      </c>
      <c r="I483" s="16">
        <f>IF(A483="","",YEAR(A483))</f>
        <v/>
      </c>
      <c r="J483" s="16">
        <f>IF(A483="","",MONTH(A483))</f>
        <v/>
      </c>
    </row>
    <row r="484">
      <c r="A484" s="11" t="n"/>
      <c r="B484" s="12" t="n"/>
      <c r="C484" s="12" t="n"/>
      <c r="D484" s="13" t="n"/>
      <c r="E484" s="12" t="n"/>
      <c r="F484" s="14">
        <f>IF(D484="","",IF(C484="Физлицо",0.04,0.06))</f>
        <v/>
      </c>
      <c r="G484" s="15">
        <f>IF(D484="","",MIN(MAX(Старт!$B$6-SUM(G$1:G483),0),D484*IF(C484="Физлицо",0.01,0.02)))</f>
        <v/>
      </c>
      <c r="H484" s="15">
        <f>IF(D484="","",D484*F484-G484)</f>
        <v/>
      </c>
      <c r="I484" s="16">
        <f>IF(A484="","",YEAR(A484))</f>
        <v/>
      </c>
      <c r="J484" s="16">
        <f>IF(A484="","",MONTH(A484))</f>
        <v/>
      </c>
    </row>
    <row r="485">
      <c r="A485" s="11" t="n"/>
      <c r="B485" s="12" t="n"/>
      <c r="C485" s="12" t="n"/>
      <c r="D485" s="13" t="n"/>
      <c r="E485" s="12" t="n"/>
      <c r="F485" s="14">
        <f>IF(D485="","",IF(C485="Физлицо",0.04,0.06))</f>
        <v/>
      </c>
      <c r="G485" s="15">
        <f>IF(D485="","",MIN(MAX(Старт!$B$6-SUM(G$1:G484),0),D485*IF(C485="Физлицо",0.01,0.02)))</f>
        <v/>
      </c>
      <c r="H485" s="15">
        <f>IF(D485="","",D485*F485-G485)</f>
        <v/>
      </c>
      <c r="I485" s="16">
        <f>IF(A485="","",YEAR(A485))</f>
        <v/>
      </c>
      <c r="J485" s="16">
        <f>IF(A485="","",MONTH(A485))</f>
        <v/>
      </c>
    </row>
    <row r="486">
      <c r="A486" s="11" t="n"/>
      <c r="B486" s="12" t="n"/>
      <c r="C486" s="12" t="n"/>
      <c r="D486" s="13" t="n"/>
      <c r="E486" s="12" t="n"/>
      <c r="F486" s="14">
        <f>IF(D486="","",IF(C486="Физлицо",0.04,0.06))</f>
        <v/>
      </c>
      <c r="G486" s="15">
        <f>IF(D486="","",MIN(MAX(Старт!$B$6-SUM(G$1:G485),0),D486*IF(C486="Физлицо",0.01,0.02)))</f>
        <v/>
      </c>
      <c r="H486" s="15">
        <f>IF(D486="","",D486*F486-G486)</f>
        <v/>
      </c>
      <c r="I486" s="16">
        <f>IF(A486="","",YEAR(A486))</f>
        <v/>
      </c>
      <c r="J486" s="16">
        <f>IF(A486="","",MONTH(A486))</f>
        <v/>
      </c>
    </row>
    <row r="487">
      <c r="A487" s="11" t="n"/>
      <c r="B487" s="12" t="n"/>
      <c r="C487" s="12" t="n"/>
      <c r="D487" s="13" t="n"/>
      <c r="E487" s="12" t="n"/>
      <c r="F487" s="14">
        <f>IF(D487="","",IF(C487="Физлицо",0.04,0.06))</f>
        <v/>
      </c>
      <c r="G487" s="15">
        <f>IF(D487="","",MIN(MAX(Старт!$B$6-SUM(G$1:G486),0),D487*IF(C487="Физлицо",0.01,0.02)))</f>
        <v/>
      </c>
      <c r="H487" s="15">
        <f>IF(D487="","",D487*F487-G487)</f>
        <v/>
      </c>
      <c r="I487" s="16">
        <f>IF(A487="","",YEAR(A487))</f>
        <v/>
      </c>
      <c r="J487" s="16">
        <f>IF(A487="","",MONTH(A487))</f>
        <v/>
      </c>
    </row>
    <row r="488">
      <c r="A488" s="11" t="n"/>
      <c r="B488" s="12" t="n"/>
      <c r="C488" s="12" t="n"/>
      <c r="D488" s="13" t="n"/>
      <c r="E488" s="12" t="n"/>
      <c r="F488" s="14">
        <f>IF(D488="","",IF(C488="Физлицо",0.04,0.06))</f>
        <v/>
      </c>
      <c r="G488" s="15">
        <f>IF(D488="","",MIN(MAX(Старт!$B$6-SUM(G$1:G487),0),D488*IF(C488="Физлицо",0.01,0.02)))</f>
        <v/>
      </c>
      <c r="H488" s="15">
        <f>IF(D488="","",D488*F488-G488)</f>
        <v/>
      </c>
      <c r="I488" s="16">
        <f>IF(A488="","",YEAR(A488))</f>
        <v/>
      </c>
      <c r="J488" s="16">
        <f>IF(A488="","",MONTH(A488))</f>
        <v/>
      </c>
    </row>
    <row r="489">
      <c r="A489" s="11" t="n"/>
      <c r="B489" s="12" t="n"/>
      <c r="C489" s="12" t="n"/>
      <c r="D489" s="13" t="n"/>
      <c r="E489" s="12" t="n"/>
      <c r="F489" s="14">
        <f>IF(D489="","",IF(C489="Физлицо",0.04,0.06))</f>
        <v/>
      </c>
      <c r="G489" s="15">
        <f>IF(D489="","",MIN(MAX(Старт!$B$6-SUM(G$1:G488),0),D489*IF(C489="Физлицо",0.01,0.02)))</f>
        <v/>
      </c>
      <c r="H489" s="15">
        <f>IF(D489="","",D489*F489-G489)</f>
        <v/>
      </c>
      <c r="I489" s="16">
        <f>IF(A489="","",YEAR(A489))</f>
        <v/>
      </c>
      <c r="J489" s="16">
        <f>IF(A489="","",MONTH(A489))</f>
        <v/>
      </c>
    </row>
    <row r="490">
      <c r="A490" s="11" t="n"/>
      <c r="B490" s="12" t="n"/>
      <c r="C490" s="12" t="n"/>
      <c r="D490" s="13" t="n"/>
      <c r="E490" s="12" t="n"/>
      <c r="F490" s="14">
        <f>IF(D490="","",IF(C490="Физлицо",0.04,0.06))</f>
        <v/>
      </c>
      <c r="G490" s="15">
        <f>IF(D490="","",MIN(MAX(Старт!$B$6-SUM(G$1:G489),0),D490*IF(C490="Физлицо",0.01,0.02)))</f>
        <v/>
      </c>
      <c r="H490" s="15">
        <f>IF(D490="","",D490*F490-G490)</f>
        <v/>
      </c>
      <c r="I490" s="16">
        <f>IF(A490="","",YEAR(A490))</f>
        <v/>
      </c>
      <c r="J490" s="16">
        <f>IF(A490="","",MONTH(A490))</f>
        <v/>
      </c>
    </row>
    <row r="491">
      <c r="A491" s="11" t="n"/>
      <c r="B491" s="12" t="n"/>
      <c r="C491" s="12" t="n"/>
      <c r="D491" s="13" t="n"/>
      <c r="E491" s="12" t="n"/>
      <c r="F491" s="14">
        <f>IF(D491="","",IF(C491="Физлицо",0.04,0.06))</f>
        <v/>
      </c>
      <c r="G491" s="15">
        <f>IF(D491="","",MIN(MAX(Старт!$B$6-SUM(G$1:G490),0),D491*IF(C491="Физлицо",0.01,0.02)))</f>
        <v/>
      </c>
      <c r="H491" s="15">
        <f>IF(D491="","",D491*F491-G491)</f>
        <v/>
      </c>
      <c r="I491" s="16">
        <f>IF(A491="","",YEAR(A491))</f>
        <v/>
      </c>
      <c r="J491" s="16">
        <f>IF(A491="","",MONTH(A491))</f>
        <v/>
      </c>
    </row>
    <row r="492">
      <c r="A492" s="11" t="n"/>
      <c r="B492" s="12" t="n"/>
      <c r="C492" s="12" t="n"/>
      <c r="D492" s="13" t="n"/>
      <c r="E492" s="12" t="n"/>
      <c r="F492" s="14">
        <f>IF(D492="","",IF(C492="Физлицо",0.04,0.06))</f>
        <v/>
      </c>
      <c r="G492" s="15">
        <f>IF(D492="","",MIN(MAX(Старт!$B$6-SUM(G$1:G491),0),D492*IF(C492="Физлицо",0.01,0.02)))</f>
        <v/>
      </c>
      <c r="H492" s="15">
        <f>IF(D492="","",D492*F492-G492)</f>
        <v/>
      </c>
      <c r="I492" s="16">
        <f>IF(A492="","",YEAR(A492))</f>
        <v/>
      </c>
      <c r="J492" s="16">
        <f>IF(A492="","",MONTH(A492))</f>
        <v/>
      </c>
    </row>
    <row r="493">
      <c r="A493" s="11" t="n"/>
      <c r="B493" s="12" t="n"/>
      <c r="C493" s="12" t="n"/>
      <c r="D493" s="13" t="n"/>
      <c r="E493" s="12" t="n"/>
      <c r="F493" s="14">
        <f>IF(D493="","",IF(C493="Физлицо",0.04,0.06))</f>
        <v/>
      </c>
      <c r="G493" s="15">
        <f>IF(D493="","",MIN(MAX(Старт!$B$6-SUM(G$1:G492),0),D493*IF(C493="Физлицо",0.01,0.02)))</f>
        <v/>
      </c>
      <c r="H493" s="15">
        <f>IF(D493="","",D493*F493-G493)</f>
        <v/>
      </c>
      <c r="I493" s="16">
        <f>IF(A493="","",YEAR(A493))</f>
        <v/>
      </c>
      <c r="J493" s="16">
        <f>IF(A493="","",MONTH(A493))</f>
        <v/>
      </c>
    </row>
    <row r="494">
      <c r="A494" s="11" t="n"/>
      <c r="B494" s="12" t="n"/>
      <c r="C494" s="12" t="n"/>
      <c r="D494" s="13" t="n"/>
      <c r="E494" s="12" t="n"/>
      <c r="F494" s="14">
        <f>IF(D494="","",IF(C494="Физлицо",0.04,0.06))</f>
        <v/>
      </c>
      <c r="G494" s="15">
        <f>IF(D494="","",MIN(MAX(Старт!$B$6-SUM(G$1:G493),0),D494*IF(C494="Физлицо",0.01,0.02)))</f>
        <v/>
      </c>
      <c r="H494" s="15">
        <f>IF(D494="","",D494*F494-G494)</f>
        <v/>
      </c>
      <c r="I494" s="16">
        <f>IF(A494="","",YEAR(A494))</f>
        <v/>
      </c>
      <c r="J494" s="16">
        <f>IF(A494="","",MONTH(A494))</f>
        <v/>
      </c>
    </row>
    <row r="495">
      <c r="A495" s="11" t="n"/>
      <c r="B495" s="12" t="n"/>
      <c r="C495" s="12" t="n"/>
      <c r="D495" s="13" t="n"/>
      <c r="E495" s="12" t="n"/>
      <c r="F495" s="14">
        <f>IF(D495="","",IF(C495="Физлицо",0.04,0.06))</f>
        <v/>
      </c>
      <c r="G495" s="15">
        <f>IF(D495="","",MIN(MAX(Старт!$B$6-SUM(G$1:G494),0),D495*IF(C495="Физлицо",0.01,0.02)))</f>
        <v/>
      </c>
      <c r="H495" s="15">
        <f>IF(D495="","",D495*F495-G495)</f>
        <v/>
      </c>
      <c r="I495" s="16">
        <f>IF(A495="","",YEAR(A495))</f>
        <v/>
      </c>
      <c r="J495" s="16">
        <f>IF(A495="","",MONTH(A495))</f>
        <v/>
      </c>
    </row>
    <row r="496">
      <c r="A496" s="11" t="n"/>
      <c r="B496" s="12" t="n"/>
      <c r="C496" s="12" t="n"/>
      <c r="D496" s="13" t="n"/>
      <c r="E496" s="12" t="n"/>
      <c r="F496" s="14">
        <f>IF(D496="","",IF(C496="Физлицо",0.04,0.06))</f>
        <v/>
      </c>
      <c r="G496" s="15">
        <f>IF(D496="","",MIN(MAX(Старт!$B$6-SUM(G$1:G495),0),D496*IF(C496="Физлицо",0.01,0.02)))</f>
        <v/>
      </c>
      <c r="H496" s="15">
        <f>IF(D496="","",D496*F496-G496)</f>
        <v/>
      </c>
      <c r="I496" s="16">
        <f>IF(A496="","",YEAR(A496))</f>
        <v/>
      </c>
      <c r="J496" s="16">
        <f>IF(A496="","",MONTH(A496))</f>
        <v/>
      </c>
    </row>
    <row r="497">
      <c r="A497" s="11" t="n"/>
      <c r="B497" s="12" t="n"/>
      <c r="C497" s="12" t="n"/>
      <c r="D497" s="13" t="n"/>
      <c r="E497" s="12" t="n"/>
      <c r="F497" s="14">
        <f>IF(D497="","",IF(C497="Физлицо",0.04,0.06))</f>
        <v/>
      </c>
      <c r="G497" s="15">
        <f>IF(D497="","",MIN(MAX(Старт!$B$6-SUM(G$1:G496),0),D497*IF(C497="Физлицо",0.01,0.02)))</f>
        <v/>
      </c>
      <c r="H497" s="15">
        <f>IF(D497="","",D497*F497-G497)</f>
        <v/>
      </c>
      <c r="I497" s="16">
        <f>IF(A497="","",YEAR(A497))</f>
        <v/>
      </c>
      <c r="J497" s="16">
        <f>IF(A497="","",MONTH(A497))</f>
        <v/>
      </c>
    </row>
    <row r="498">
      <c r="A498" s="11" t="n"/>
      <c r="B498" s="12" t="n"/>
      <c r="C498" s="12" t="n"/>
      <c r="D498" s="13" t="n"/>
      <c r="E498" s="12" t="n"/>
      <c r="F498" s="14">
        <f>IF(D498="","",IF(C498="Физлицо",0.04,0.06))</f>
        <v/>
      </c>
      <c r="G498" s="15">
        <f>IF(D498="","",MIN(MAX(Старт!$B$6-SUM(G$1:G497),0),D498*IF(C498="Физлицо",0.01,0.02)))</f>
        <v/>
      </c>
      <c r="H498" s="15">
        <f>IF(D498="","",D498*F498-G498)</f>
        <v/>
      </c>
      <c r="I498" s="16">
        <f>IF(A498="","",YEAR(A498))</f>
        <v/>
      </c>
      <c r="J498" s="16">
        <f>IF(A498="","",MONTH(A498))</f>
        <v/>
      </c>
    </row>
    <row r="499">
      <c r="A499" s="11" t="n"/>
      <c r="B499" s="12" t="n"/>
      <c r="C499" s="12" t="n"/>
      <c r="D499" s="13" t="n"/>
      <c r="E499" s="12" t="n"/>
      <c r="F499" s="14">
        <f>IF(D499="","",IF(C499="Физлицо",0.04,0.06))</f>
        <v/>
      </c>
      <c r="G499" s="15">
        <f>IF(D499="","",MIN(MAX(Старт!$B$6-SUM(G$1:G498),0),D499*IF(C499="Физлицо",0.01,0.02)))</f>
        <v/>
      </c>
      <c r="H499" s="15">
        <f>IF(D499="","",D499*F499-G499)</f>
        <v/>
      </c>
      <c r="I499" s="16">
        <f>IF(A499="","",YEAR(A499))</f>
        <v/>
      </c>
      <c r="J499" s="16">
        <f>IF(A499="","",MONTH(A499))</f>
        <v/>
      </c>
    </row>
    <row r="500">
      <c r="A500" s="11" t="n"/>
      <c r="B500" s="12" t="n"/>
      <c r="C500" s="12" t="n"/>
      <c r="D500" s="13" t="n"/>
      <c r="E500" s="12" t="n"/>
      <c r="F500" s="14">
        <f>IF(D500="","",IF(C500="Физлицо",0.04,0.06))</f>
        <v/>
      </c>
      <c r="G500" s="15">
        <f>IF(D500="","",MIN(MAX(Старт!$B$6-SUM(G$1:G499),0),D500*IF(C500="Физлицо",0.01,0.02)))</f>
        <v/>
      </c>
      <c r="H500" s="15">
        <f>IF(D500="","",D500*F500-G500)</f>
        <v/>
      </c>
      <c r="I500" s="16">
        <f>IF(A500="","",YEAR(A500))</f>
        <v/>
      </c>
      <c r="J500" s="16">
        <f>IF(A500="","",MONTH(A500))</f>
        <v/>
      </c>
    </row>
    <row r="501">
      <c r="A501" s="11" t="n"/>
      <c r="B501" s="12" t="n"/>
      <c r="C501" s="12" t="n"/>
      <c r="D501" s="13" t="n"/>
      <c r="E501" s="12" t="n"/>
      <c r="F501" s="14">
        <f>IF(D501="","",IF(C501="Физлицо",0.04,0.06))</f>
        <v/>
      </c>
      <c r="G501" s="15">
        <f>IF(D501="","",MIN(MAX(Старт!$B$6-SUM(G$1:G500),0),D501*IF(C501="Физлицо",0.01,0.02)))</f>
        <v/>
      </c>
      <c r="H501" s="15">
        <f>IF(D501="","",D501*F501-G501)</f>
        <v/>
      </c>
      <c r="I501" s="16">
        <f>IF(A501="","",YEAR(A501))</f>
        <v/>
      </c>
      <c r="J501" s="16">
        <f>IF(A501="","",MONTH(A501))</f>
        <v/>
      </c>
    </row>
  </sheetData>
  <conditionalFormatting sqref="A2:H501">
    <cfRule type="expression" priority="1" dxfId="0">
      <formula>$E2="Нет"</formula>
    </cfRule>
  </conditionalFormatting>
  <dataValidations count="2">
    <dataValidation sqref="C2:C501" showDropDown="0" showInputMessage="0" showErrorMessage="0" allowBlank="1" type="list">
      <formula1>"Физлицо,ИП или компания"</formula1>
    </dataValidation>
    <dataValidation sqref="E2:E501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1">
      <c r="A1" s="1" t="inlineStr">
        <is>
          <t>Итоги за год</t>
        </is>
      </c>
      <c r="B1" s="1">
        <f>Старт!$B$5</f>
        <v/>
      </c>
    </row>
    <row r="3">
      <c r="A3" s="4" t="inlineStr">
        <is>
          <t>Доход за год</t>
        </is>
      </c>
      <c r="B3" s="17">
        <f>SUMIFS(Доходы!$D$2:$D$501,Доходы!$I$2:$I$501,Старт!$B$5)</f>
        <v/>
      </c>
    </row>
    <row r="4">
      <c r="A4" s="4" t="inlineStr">
        <is>
          <t>Налог за год</t>
        </is>
      </c>
      <c r="B4" s="18">
        <f>SUMIFS(Доходы!$H$2:$H$501,Доходы!$I$2:$I$501,Старт!$B$5)</f>
        <v/>
      </c>
    </row>
    <row r="5">
      <c r="A5" s="4" t="inlineStr">
        <is>
          <t>Остаток до лимита</t>
        </is>
      </c>
      <c r="B5" s="17">
        <f>Старт!$B$7-B3</f>
        <v/>
      </c>
    </row>
    <row r="6">
      <c r="A6" s="4" t="inlineStr">
        <is>
          <t>Лимит использован</t>
        </is>
      </c>
      <c r="B6" s="19">
        <f>B3/Старт!$B$7</f>
        <v/>
      </c>
    </row>
    <row r="7">
      <c r="A7" s="4" t="inlineStr">
        <is>
          <t>Остаток налогового бонуса</t>
        </is>
      </c>
      <c r="B7" s="18">
        <f>MAX(Старт!$B$6-SUM(Доходы!$G$2:$G$501),0)</f>
        <v/>
      </c>
    </row>
    <row r="8">
      <c r="A8" s="4" t="inlineStr">
        <is>
          <t>Статус</t>
        </is>
      </c>
      <c r="B8" s="20">
        <f>IF(B6&gt;=1,"Лимит превышен: право на НПД потеряно, нужен другой режим",IF(B6&gt;=0.8,"Больше 80% лимита — планируйте заранее","В пределах лимита"))</f>
        <v/>
      </c>
      <c r="C8" s="21" t="n"/>
      <c r="D8" s="21" t="n"/>
      <c r="E8" s="21" t="n"/>
      <c r="F8" s="22" t="n"/>
    </row>
    <row r="10">
      <c r="A10" s="23" t="inlineStr">
        <is>
          <t>Месяц</t>
        </is>
      </c>
      <c r="B10" s="23" t="inlineStr">
        <is>
          <t>Доход</t>
        </is>
      </c>
      <c r="C10" s="23" t="inlineStr">
        <is>
          <t>Налог</t>
        </is>
      </c>
      <c r="D10" s="23" t="inlineStr">
        <is>
          <t>Оплатить до</t>
        </is>
      </c>
      <c r="E10" s="23" t="inlineStr">
        <is>
          <t>Чеков не выбито</t>
        </is>
      </c>
      <c r="F10" s="23" t="inlineStr">
        <is>
          <t>Что сделать</t>
        </is>
      </c>
    </row>
    <row r="11">
      <c r="A11" s="16" t="inlineStr">
        <is>
          <t>Январь</t>
        </is>
      </c>
      <c r="B11" s="24">
        <f>SUMIFS(Доходы!$D$2:$D$501,Доходы!$I$2:$I$501,Старт!$B$5,Доходы!$J$2:$J$501,1)</f>
        <v/>
      </c>
      <c r="C11" s="15">
        <f>SUMIFS(Доходы!$H$2:$H$501,Доходы!$I$2:$I$501,Старт!$B$5,Доходы!$J$2:$J$501,1)</f>
        <v/>
      </c>
      <c r="D11" s="25">
        <f>DATE(Старт!$B$5,2,28)</f>
        <v/>
      </c>
      <c r="E11" s="16">
        <f>COUNTIFS(Доходы!$I$2:$I$501,Старт!$B$5,Доходы!$J$2:$J$501,1,Доходы!$E$2:$E$501,"Нет")</f>
        <v/>
      </c>
      <c r="F11" s="16">
        <f>IF(E11&gt;0,"Выбить чеки до 9-го",IF(AND(C11&gt;0,C11&lt;100),"Меньше 100 ₽ — перенесётся",""))</f>
        <v/>
      </c>
    </row>
    <row r="12">
      <c r="A12" s="16" t="inlineStr">
        <is>
          <t>Февраль</t>
        </is>
      </c>
      <c r="B12" s="24">
        <f>SUMIFS(Доходы!$D$2:$D$501,Доходы!$I$2:$I$501,Старт!$B$5,Доходы!$J$2:$J$501,2)</f>
        <v/>
      </c>
      <c r="C12" s="15">
        <f>SUMIFS(Доходы!$H$2:$H$501,Доходы!$I$2:$I$501,Старт!$B$5,Доходы!$J$2:$J$501,2)</f>
        <v/>
      </c>
      <c r="D12" s="25">
        <f>DATE(Старт!$B$5,3,28)</f>
        <v/>
      </c>
      <c r="E12" s="16">
        <f>COUNTIFS(Доходы!$I$2:$I$501,Старт!$B$5,Доходы!$J$2:$J$501,2,Доходы!$E$2:$E$501,"Нет")</f>
        <v/>
      </c>
      <c r="F12" s="16">
        <f>IF(E12&gt;0,"Выбить чеки до 9-го",IF(AND(C12&gt;0,C12&lt;100),"Меньше 100 ₽ — перенесётся",""))</f>
        <v/>
      </c>
    </row>
    <row r="13">
      <c r="A13" s="16" t="inlineStr">
        <is>
          <t>Март</t>
        </is>
      </c>
      <c r="B13" s="24">
        <f>SUMIFS(Доходы!$D$2:$D$501,Доходы!$I$2:$I$501,Старт!$B$5,Доходы!$J$2:$J$501,3)</f>
        <v/>
      </c>
      <c r="C13" s="15">
        <f>SUMIFS(Доходы!$H$2:$H$501,Доходы!$I$2:$I$501,Старт!$B$5,Доходы!$J$2:$J$501,3)</f>
        <v/>
      </c>
      <c r="D13" s="25">
        <f>DATE(Старт!$B$5,4,28)</f>
        <v/>
      </c>
      <c r="E13" s="16">
        <f>COUNTIFS(Доходы!$I$2:$I$501,Старт!$B$5,Доходы!$J$2:$J$501,3,Доходы!$E$2:$E$501,"Нет")</f>
        <v/>
      </c>
      <c r="F13" s="16">
        <f>IF(E13&gt;0,"Выбить чеки до 9-го",IF(AND(C13&gt;0,C13&lt;100),"Меньше 100 ₽ — перенесётся",""))</f>
        <v/>
      </c>
    </row>
    <row r="14">
      <c r="A14" s="16" t="inlineStr">
        <is>
          <t>Апрель</t>
        </is>
      </c>
      <c r="B14" s="24">
        <f>SUMIFS(Доходы!$D$2:$D$501,Доходы!$I$2:$I$501,Старт!$B$5,Доходы!$J$2:$J$501,4)</f>
        <v/>
      </c>
      <c r="C14" s="15">
        <f>SUMIFS(Доходы!$H$2:$H$501,Доходы!$I$2:$I$501,Старт!$B$5,Доходы!$J$2:$J$501,4)</f>
        <v/>
      </c>
      <c r="D14" s="25">
        <f>DATE(Старт!$B$5,5,28)</f>
        <v/>
      </c>
      <c r="E14" s="16">
        <f>COUNTIFS(Доходы!$I$2:$I$501,Старт!$B$5,Доходы!$J$2:$J$501,4,Доходы!$E$2:$E$501,"Нет")</f>
        <v/>
      </c>
      <c r="F14" s="16">
        <f>IF(E14&gt;0,"Выбить чеки до 9-го",IF(AND(C14&gt;0,C14&lt;100),"Меньше 100 ₽ — перенесётся",""))</f>
        <v/>
      </c>
    </row>
    <row r="15">
      <c r="A15" s="16" t="inlineStr">
        <is>
          <t>Май</t>
        </is>
      </c>
      <c r="B15" s="24">
        <f>SUMIFS(Доходы!$D$2:$D$501,Доходы!$I$2:$I$501,Старт!$B$5,Доходы!$J$2:$J$501,5)</f>
        <v/>
      </c>
      <c r="C15" s="15">
        <f>SUMIFS(Доходы!$H$2:$H$501,Доходы!$I$2:$I$501,Старт!$B$5,Доходы!$J$2:$J$501,5)</f>
        <v/>
      </c>
      <c r="D15" s="25">
        <f>DATE(Старт!$B$5,6,28)</f>
        <v/>
      </c>
      <c r="E15" s="16">
        <f>COUNTIFS(Доходы!$I$2:$I$501,Старт!$B$5,Доходы!$J$2:$J$501,5,Доходы!$E$2:$E$501,"Нет")</f>
        <v/>
      </c>
      <c r="F15" s="16">
        <f>IF(E15&gt;0,"Выбить чеки до 9-го",IF(AND(C15&gt;0,C15&lt;100),"Меньше 100 ₽ — перенесётся",""))</f>
        <v/>
      </c>
    </row>
    <row r="16">
      <c r="A16" s="16" t="inlineStr">
        <is>
          <t>Июнь</t>
        </is>
      </c>
      <c r="B16" s="24">
        <f>SUMIFS(Доходы!$D$2:$D$501,Доходы!$I$2:$I$501,Старт!$B$5,Доходы!$J$2:$J$501,6)</f>
        <v/>
      </c>
      <c r="C16" s="15">
        <f>SUMIFS(Доходы!$H$2:$H$501,Доходы!$I$2:$I$501,Старт!$B$5,Доходы!$J$2:$J$501,6)</f>
        <v/>
      </c>
      <c r="D16" s="25">
        <f>DATE(Старт!$B$5,7,28)</f>
        <v/>
      </c>
      <c r="E16" s="16">
        <f>COUNTIFS(Доходы!$I$2:$I$501,Старт!$B$5,Доходы!$J$2:$J$501,6,Доходы!$E$2:$E$501,"Нет")</f>
        <v/>
      </c>
      <c r="F16" s="16">
        <f>IF(E16&gt;0,"Выбить чеки до 9-го",IF(AND(C16&gt;0,C16&lt;100),"Меньше 100 ₽ — перенесётся",""))</f>
        <v/>
      </c>
    </row>
    <row r="17">
      <c r="A17" s="16" t="inlineStr">
        <is>
          <t>Июль</t>
        </is>
      </c>
      <c r="B17" s="24">
        <f>SUMIFS(Доходы!$D$2:$D$501,Доходы!$I$2:$I$501,Старт!$B$5,Доходы!$J$2:$J$501,7)</f>
        <v/>
      </c>
      <c r="C17" s="15">
        <f>SUMIFS(Доходы!$H$2:$H$501,Доходы!$I$2:$I$501,Старт!$B$5,Доходы!$J$2:$J$501,7)</f>
        <v/>
      </c>
      <c r="D17" s="25">
        <f>DATE(Старт!$B$5,8,28)</f>
        <v/>
      </c>
      <c r="E17" s="16">
        <f>COUNTIFS(Доходы!$I$2:$I$501,Старт!$B$5,Доходы!$J$2:$J$501,7,Доходы!$E$2:$E$501,"Нет")</f>
        <v/>
      </c>
      <c r="F17" s="16">
        <f>IF(E17&gt;0,"Выбить чеки до 9-го",IF(AND(C17&gt;0,C17&lt;100),"Меньше 100 ₽ — перенесётся",""))</f>
        <v/>
      </c>
    </row>
    <row r="18">
      <c r="A18" s="16" t="inlineStr">
        <is>
          <t>Август</t>
        </is>
      </c>
      <c r="B18" s="24">
        <f>SUMIFS(Доходы!$D$2:$D$501,Доходы!$I$2:$I$501,Старт!$B$5,Доходы!$J$2:$J$501,8)</f>
        <v/>
      </c>
      <c r="C18" s="15">
        <f>SUMIFS(Доходы!$H$2:$H$501,Доходы!$I$2:$I$501,Старт!$B$5,Доходы!$J$2:$J$501,8)</f>
        <v/>
      </c>
      <c r="D18" s="25">
        <f>DATE(Старт!$B$5,9,28)</f>
        <v/>
      </c>
      <c r="E18" s="16">
        <f>COUNTIFS(Доходы!$I$2:$I$501,Старт!$B$5,Доходы!$J$2:$J$501,8,Доходы!$E$2:$E$501,"Нет")</f>
        <v/>
      </c>
      <c r="F18" s="16">
        <f>IF(E18&gt;0,"Выбить чеки до 9-го",IF(AND(C18&gt;0,C18&lt;100),"Меньше 100 ₽ — перенесётся",""))</f>
        <v/>
      </c>
    </row>
    <row r="19">
      <c r="A19" s="16" t="inlineStr">
        <is>
          <t>Сентябрь</t>
        </is>
      </c>
      <c r="B19" s="24">
        <f>SUMIFS(Доходы!$D$2:$D$501,Доходы!$I$2:$I$501,Старт!$B$5,Доходы!$J$2:$J$501,9)</f>
        <v/>
      </c>
      <c r="C19" s="15">
        <f>SUMIFS(Доходы!$H$2:$H$501,Доходы!$I$2:$I$501,Старт!$B$5,Доходы!$J$2:$J$501,9)</f>
        <v/>
      </c>
      <c r="D19" s="25">
        <f>DATE(Старт!$B$5,10,28)</f>
        <v/>
      </c>
      <c r="E19" s="16">
        <f>COUNTIFS(Доходы!$I$2:$I$501,Старт!$B$5,Доходы!$J$2:$J$501,9,Доходы!$E$2:$E$501,"Нет")</f>
        <v/>
      </c>
      <c r="F19" s="16">
        <f>IF(E19&gt;0,"Выбить чеки до 9-го",IF(AND(C19&gt;0,C19&lt;100),"Меньше 100 ₽ — перенесётся",""))</f>
        <v/>
      </c>
    </row>
    <row r="20">
      <c r="A20" s="16" t="inlineStr">
        <is>
          <t>Октябрь</t>
        </is>
      </c>
      <c r="B20" s="24">
        <f>SUMIFS(Доходы!$D$2:$D$501,Доходы!$I$2:$I$501,Старт!$B$5,Доходы!$J$2:$J$501,10)</f>
        <v/>
      </c>
      <c r="C20" s="15">
        <f>SUMIFS(Доходы!$H$2:$H$501,Доходы!$I$2:$I$501,Старт!$B$5,Доходы!$J$2:$J$501,10)</f>
        <v/>
      </c>
      <c r="D20" s="25">
        <f>DATE(Старт!$B$5,11,28)</f>
        <v/>
      </c>
      <c r="E20" s="16">
        <f>COUNTIFS(Доходы!$I$2:$I$501,Старт!$B$5,Доходы!$J$2:$J$501,10,Доходы!$E$2:$E$501,"Нет")</f>
        <v/>
      </c>
      <c r="F20" s="16">
        <f>IF(E20&gt;0,"Выбить чеки до 9-го",IF(AND(C20&gt;0,C20&lt;100),"Меньше 100 ₽ — перенесётся",""))</f>
        <v/>
      </c>
    </row>
    <row r="21">
      <c r="A21" s="16" t="inlineStr">
        <is>
          <t>Ноябрь</t>
        </is>
      </c>
      <c r="B21" s="24">
        <f>SUMIFS(Доходы!$D$2:$D$501,Доходы!$I$2:$I$501,Старт!$B$5,Доходы!$J$2:$J$501,11)</f>
        <v/>
      </c>
      <c r="C21" s="15">
        <f>SUMIFS(Доходы!$H$2:$H$501,Доходы!$I$2:$I$501,Старт!$B$5,Доходы!$J$2:$J$501,11)</f>
        <v/>
      </c>
      <c r="D21" s="25">
        <f>DATE(Старт!$B$5,12,28)</f>
        <v/>
      </c>
      <c r="E21" s="16">
        <f>COUNTIFS(Доходы!$I$2:$I$501,Старт!$B$5,Доходы!$J$2:$J$501,11,Доходы!$E$2:$E$501,"Нет")</f>
        <v/>
      </c>
      <c r="F21" s="16">
        <f>IF(E21&gt;0,"Выбить чеки до 9-го",IF(AND(C21&gt;0,C21&lt;100),"Меньше 100 ₽ — перенесётся",""))</f>
        <v/>
      </c>
    </row>
    <row r="22">
      <c r="A22" s="16" t="inlineStr">
        <is>
          <t>Декабрь</t>
        </is>
      </c>
      <c r="B22" s="24">
        <f>SUMIFS(Доходы!$D$2:$D$501,Доходы!$I$2:$I$501,Старт!$B$5,Доходы!$J$2:$J$501,12)</f>
        <v/>
      </c>
      <c r="C22" s="15">
        <f>SUMIFS(Доходы!$H$2:$H$501,Доходы!$I$2:$I$501,Старт!$B$5,Доходы!$J$2:$J$501,12)</f>
        <v/>
      </c>
      <c r="D22" s="25">
        <f>DATE(Старт!$B$5,13,28)</f>
        <v/>
      </c>
      <c r="E22" s="16">
        <f>COUNTIFS(Доходы!$I$2:$I$501,Старт!$B$5,Доходы!$J$2:$J$501,12,Доходы!$E$2:$E$501,"Нет")</f>
        <v/>
      </c>
      <c r="F22" s="16">
        <f>IF(E22&gt;0,"Выбить чеки до 9-го",IF(AND(C22&gt;0,C22&lt;100),"Меньше 100 ₽ — перенесётся",""))</f>
        <v/>
      </c>
    </row>
    <row r="23">
      <c r="A23" s="7" t="inlineStr">
        <is>
          <t>Итого</t>
        </is>
      </c>
      <c r="B23" s="26">
        <f>SUM(B11:B22)</f>
        <v/>
      </c>
      <c r="C23" s="27">
        <f>SUM(C11:C22)</f>
        <v/>
      </c>
      <c r="E23">
        <f>SUM(E11:E22)</f>
        <v/>
      </c>
    </row>
    <row r="25">
      <c r="A25" s="2" t="inlineStr">
        <is>
          <t>Налог — оценка. Точная сумма — в квитанции «Мой налог», она приходит до 12-го числа.</t>
        </is>
      </c>
    </row>
  </sheetData>
  <mergeCells count="1">
    <mergeCell ref="B8:F8"/>
  </mergeCells>
  <conditionalFormatting sqref="B8">
    <cfRule type="expression" priority="1" dxfId="0">
      <formula>$B$6&gt;=0.8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2026-10-05T04:48:14Z</dcterms:created>
  <dcterms:modified xsi:type="dcterms:W3CDTF">2026-10-05T04:48:14Z</dcterms:modified>
</cp:coreProperties>
</file>